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ema Báez\Documents\gema\MAESTRIA\HERIBERTO\AGUACATE\ANALISIS CORRECION\"/>
    </mc:Choice>
  </mc:AlternateContent>
  <xr:revisionPtr revIDLastSave="0" documentId="8_{C85BB532-7227-4B04-AC9B-EE88788FF87B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ENTRADA_GAMS" sheetId="1" r:id="rId1"/>
    <sheet name="ETO_GAMS" sheetId="3" r:id="rId2"/>
    <sheet name="KC_EFECTIVO" sheetId="4" r:id="rId3"/>
    <sheet name="ETC_GAMS" sheetId="5" r:id="rId4"/>
    <sheet name="CALENDARIO" sheetId="8" r:id="rId5"/>
    <sheet name="CONTROL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3" i="9" l="1"/>
  <c r="H73" i="9"/>
  <c r="E73" i="9"/>
  <c r="D73" i="9"/>
  <c r="C73" i="9"/>
  <c r="B73" i="9"/>
  <c r="A73" i="9"/>
  <c r="I72" i="9"/>
  <c r="H72" i="9"/>
  <c r="E72" i="9"/>
  <c r="D72" i="9"/>
  <c r="C72" i="9"/>
  <c r="F72" i="9" s="1"/>
  <c r="B72" i="9"/>
  <c r="A72" i="9"/>
  <c r="I71" i="9"/>
  <c r="H71" i="9"/>
  <c r="E71" i="9"/>
  <c r="D71" i="9"/>
  <c r="C71" i="9"/>
  <c r="F71" i="9" s="1"/>
  <c r="G71" i="9" s="1"/>
  <c r="B71" i="9"/>
  <c r="A71" i="9"/>
  <c r="I70" i="9"/>
  <c r="H70" i="9"/>
  <c r="F70" i="9"/>
  <c r="E70" i="9"/>
  <c r="D70" i="9"/>
  <c r="C70" i="9"/>
  <c r="B70" i="9"/>
  <c r="A70" i="9"/>
  <c r="I69" i="9"/>
  <c r="H69" i="9"/>
  <c r="E69" i="9"/>
  <c r="D69" i="9"/>
  <c r="C69" i="9"/>
  <c r="B69" i="9"/>
  <c r="A69" i="9"/>
  <c r="I68" i="9"/>
  <c r="H68" i="9"/>
  <c r="E68" i="9"/>
  <c r="D68" i="9"/>
  <c r="C68" i="9"/>
  <c r="B68" i="9"/>
  <c r="A68" i="9"/>
  <c r="I67" i="9"/>
  <c r="H67" i="9"/>
  <c r="E67" i="9"/>
  <c r="D67" i="9"/>
  <c r="C67" i="9"/>
  <c r="F67" i="9" s="1"/>
  <c r="G67" i="9" s="1"/>
  <c r="B67" i="9"/>
  <c r="A67" i="9"/>
  <c r="I66" i="9"/>
  <c r="H66" i="9"/>
  <c r="E66" i="9"/>
  <c r="D66" i="9"/>
  <c r="C66" i="9"/>
  <c r="F66" i="9" s="1"/>
  <c r="B66" i="9"/>
  <c r="A66" i="9"/>
  <c r="I65" i="9"/>
  <c r="H65" i="9"/>
  <c r="E65" i="9"/>
  <c r="D65" i="9"/>
  <c r="C65" i="9"/>
  <c r="F65" i="9" s="1"/>
  <c r="B65" i="9"/>
  <c r="A65" i="9"/>
  <c r="I64" i="9"/>
  <c r="H64" i="9"/>
  <c r="E64" i="9"/>
  <c r="D64" i="9"/>
  <c r="C64" i="9"/>
  <c r="B64" i="9"/>
  <c r="A64" i="9"/>
  <c r="I63" i="9"/>
  <c r="H63" i="9"/>
  <c r="E63" i="9"/>
  <c r="D63" i="9"/>
  <c r="C63" i="9"/>
  <c r="B63" i="9"/>
  <c r="A63" i="9"/>
  <c r="I62" i="9"/>
  <c r="H62" i="9"/>
  <c r="E62" i="9"/>
  <c r="D62" i="9"/>
  <c r="C62" i="9"/>
  <c r="B62" i="9"/>
  <c r="A62" i="9"/>
  <c r="I61" i="9"/>
  <c r="H61" i="9"/>
  <c r="E61" i="9"/>
  <c r="D61" i="9"/>
  <c r="C61" i="9"/>
  <c r="F61" i="9" s="1"/>
  <c r="B61" i="9"/>
  <c r="A61" i="9"/>
  <c r="I60" i="9"/>
  <c r="H60" i="9"/>
  <c r="E60" i="9"/>
  <c r="D60" i="9"/>
  <c r="C60" i="9"/>
  <c r="B60" i="9"/>
  <c r="A60" i="9"/>
  <c r="I59" i="9"/>
  <c r="H59" i="9"/>
  <c r="E59" i="9"/>
  <c r="D59" i="9"/>
  <c r="C59" i="9"/>
  <c r="F59" i="9" s="1"/>
  <c r="B59" i="9"/>
  <c r="A59" i="9"/>
  <c r="I58" i="9"/>
  <c r="H58" i="9"/>
  <c r="E58" i="9"/>
  <c r="D58" i="9"/>
  <c r="C58" i="9"/>
  <c r="F58" i="9" s="1"/>
  <c r="B58" i="9"/>
  <c r="A58" i="9"/>
  <c r="I57" i="9"/>
  <c r="H57" i="9"/>
  <c r="E57" i="9"/>
  <c r="D57" i="9"/>
  <c r="C57" i="9"/>
  <c r="B57" i="9"/>
  <c r="A57" i="9"/>
  <c r="I56" i="9"/>
  <c r="H56" i="9"/>
  <c r="E56" i="9"/>
  <c r="D56" i="9"/>
  <c r="C56" i="9"/>
  <c r="F56" i="9" s="1"/>
  <c r="B56" i="9"/>
  <c r="A56" i="9"/>
  <c r="I55" i="9"/>
  <c r="H55" i="9"/>
  <c r="E55" i="9"/>
  <c r="D55" i="9"/>
  <c r="C55" i="9"/>
  <c r="B55" i="9"/>
  <c r="A55" i="9"/>
  <c r="I54" i="9"/>
  <c r="H54" i="9"/>
  <c r="E54" i="9"/>
  <c r="D54" i="9"/>
  <c r="C54" i="9"/>
  <c r="F54" i="9" s="1"/>
  <c r="B54" i="9"/>
  <c r="A54" i="9"/>
  <c r="I53" i="9"/>
  <c r="H53" i="9"/>
  <c r="E53" i="9"/>
  <c r="D53" i="9"/>
  <c r="C53" i="9"/>
  <c r="B53" i="9"/>
  <c r="A53" i="9"/>
  <c r="I52" i="9"/>
  <c r="H52" i="9"/>
  <c r="E52" i="9"/>
  <c r="D52" i="9"/>
  <c r="C52" i="9"/>
  <c r="B52" i="9"/>
  <c r="A52" i="9"/>
  <c r="I51" i="9"/>
  <c r="H51" i="9"/>
  <c r="E51" i="9"/>
  <c r="D51" i="9"/>
  <c r="C51" i="9"/>
  <c r="F51" i="9" s="1"/>
  <c r="B51" i="9"/>
  <c r="A51" i="9"/>
  <c r="I50" i="9"/>
  <c r="H50" i="9"/>
  <c r="E50" i="9"/>
  <c r="D50" i="9"/>
  <c r="C50" i="9"/>
  <c r="B50" i="9"/>
  <c r="A50" i="9"/>
  <c r="I49" i="9"/>
  <c r="H49" i="9"/>
  <c r="E49" i="9"/>
  <c r="D49" i="9"/>
  <c r="C49" i="9"/>
  <c r="F49" i="9" s="1"/>
  <c r="B49" i="9"/>
  <c r="A49" i="9"/>
  <c r="I48" i="9"/>
  <c r="H48" i="9"/>
  <c r="E48" i="9"/>
  <c r="D48" i="9"/>
  <c r="C48" i="9"/>
  <c r="F48" i="9" s="1"/>
  <c r="B48" i="9"/>
  <c r="A48" i="9"/>
  <c r="I47" i="9"/>
  <c r="H47" i="9"/>
  <c r="E47" i="9"/>
  <c r="D47" i="9"/>
  <c r="C47" i="9"/>
  <c r="B47" i="9"/>
  <c r="A47" i="9"/>
  <c r="I46" i="9"/>
  <c r="H46" i="9"/>
  <c r="E46" i="9"/>
  <c r="D46" i="9"/>
  <c r="F46" i="9" s="1"/>
  <c r="C46" i="9"/>
  <c r="B46" i="9"/>
  <c r="A46" i="9"/>
  <c r="I45" i="9"/>
  <c r="H45" i="9"/>
  <c r="E45" i="9"/>
  <c r="D45" i="9"/>
  <c r="C45" i="9"/>
  <c r="F45" i="9" s="1"/>
  <c r="B45" i="9"/>
  <c r="A45" i="9"/>
  <c r="I44" i="9"/>
  <c r="H44" i="9"/>
  <c r="E44" i="9"/>
  <c r="D44" i="9"/>
  <c r="C44" i="9"/>
  <c r="F44" i="9" s="1"/>
  <c r="B44" i="9"/>
  <c r="A44" i="9"/>
  <c r="I43" i="9"/>
  <c r="H43" i="9"/>
  <c r="E43" i="9"/>
  <c r="D43" i="9"/>
  <c r="C43" i="9"/>
  <c r="B43" i="9"/>
  <c r="A43" i="9"/>
  <c r="I42" i="9"/>
  <c r="H42" i="9"/>
  <c r="F42" i="9"/>
  <c r="E42" i="9"/>
  <c r="G42" i="9" s="1"/>
  <c r="D42" i="9"/>
  <c r="C42" i="9"/>
  <c r="B42" i="9"/>
  <c r="A42" i="9"/>
  <c r="I41" i="9"/>
  <c r="H41" i="9"/>
  <c r="E41" i="9"/>
  <c r="D41" i="9"/>
  <c r="C41" i="9"/>
  <c r="B41" i="9"/>
  <c r="A41" i="9"/>
  <c r="I40" i="9"/>
  <c r="H40" i="9"/>
  <c r="E40" i="9"/>
  <c r="D40" i="9"/>
  <c r="C40" i="9"/>
  <c r="F40" i="9" s="1"/>
  <c r="B40" i="9"/>
  <c r="A40" i="9"/>
  <c r="I39" i="9"/>
  <c r="H39" i="9"/>
  <c r="E39" i="9"/>
  <c r="D39" i="9"/>
  <c r="C39" i="9"/>
  <c r="F39" i="9" s="1"/>
  <c r="G39" i="9" s="1"/>
  <c r="B39" i="9"/>
  <c r="A39" i="9"/>
  <c r="I38" i="9"/>
  <c r="H38" i="9"/>
  <c r="F38" i="9"/>
  <c r="E38" i="9"/>
  <c r="D38" i="9"/>
  <c r="C38" i="9"/>
  <c r="B38" i="9"/>
  <c r="A38" i="9"/>
  <c r="I37" i="9"/>
  <c r="H37" i="9"/>
  <c r="E37" i="9"/>
  <c r="D37" i="9"/>
  <c r="C37" i="9"/>
  <c r="B37" i="9"/>
  <c r="A37" i="9"/>
  <c r="I36" i="9"/>
  <c r="H36" i="9"/>
  <c r="E36" i="9"/>
  <c r="D36" i="9"/>
  <c r="C36" i="9"/>
  <c r="B36" i="9"/>
  <c r="A36" i="9"/>
  <c r="I35" i="9"/>
  <c r="H35" i="9"/>
  <c r="E35" i="9"/>
  <c r="D35" i="9"/>
  <c r="C35" i="9"/>
  <c r="B35" i="9"/>
  <c r="A35" i="9"/>
  <c r="I34" i="9"/>
  <c r="H34" i="9"/>
  <c r="E34" i="9"/>
  <c r="D34" i="9"/>
  <c r="C34" i="9"/>
  <c r="B34" i="9"/>
  <c r="A34" i="9"/>
  <c r="I33" i="9"/>
  <c r="H33" i="9"/>
  <c r="E33" i="9"/>
  <c r="D33" i="9"/>
  <c r="C33" i="9"/>
  <c r="F33" i="9" s="1"/>
  <c r="B33" i="9"/>
  <c r="A33" i="9"/>
  <c r="I32" i="9"/>
  <c r="H32" i="9"/>
  <c r="E32" i="9"/>
  <c r="D32" i="9"/>
  <c r="F32" i="9" s="1"/>
  <c r="C32" i="9"/>
  <c r="B32" i="9"/>
  <c r="A32" i="9"/>
  <c r="I31" i="9"/>
  <c r="H31" i="9"/>
  <c r="E31" i="9"/>
  <c r="D31" i="9"/>
  <c r="C31" i="9"/>
  <c r="F31" i="9" s="1"/>
  <c r="G31" i="9" s="1"/>
  <c r="B31" i="9"/>
  <c r="A31" i="9"/>
  <c r="I30" i="9"/>
  <c r="H30" i="9"/>
  <c r="E30" i="9"/>
  <c r="D30" i="9"/>
  <c r="C30" i="9"/>
  <c r="B30" i="9"/>
  <c r="A30" i="9"/>
  <c r="I29" i="9"/>
  <c r="H29" i="9"/>
  <c r="E29" i="9"/>
  <c r="D29" i="9"/>
  <c r="C29" i="9"/>
  <c r="B29" i="9"/>
  <c r="A29" i="9"/>
  <c r="I28" i="9"/>
  <c r="H28" i="9"/>
  <c r="E28" i="9"/>
  <c r="D28" i="9"/>
  <c r="F28" i="9" s="1"/>
  <c r="C28" i="9"/>
  <c r="B28" i="9"/>
  <c r="A28" i="9"/>
  <c r="I27" i="9"/>
  <c r="H27" i="9"/>
  <c r="E27" i="9"/>
  <c r="D27" i="9"/>
  <c r="C27" i="9"/>
  <c r="B27" i="9"/>
  <c r="A27" i="9"/>
  <c r="I26" i="9"/>
  <c r="H26" i="9"/>
  <c r="E26" i="9"/>
  <c r="D26" i="9"/>
  <c r="C26" i="9"/>
  <c r="F26" i="9" s="1"/>
  <c r="B26" i="9"/>
  <c r="A26" i="9"/>
  <c r="I25" i="9"/>
  <c r="H25" i="9"/>
  <c r="E25" i="9"/>
  <c r="D25" i="9"/>
  <c r="C25" i="9"/>
  <c r="F25" i="9" s="1"/>
  <c r="B25" i="9"/>
  <c r="A25" i="9"/>
  <c r="I24" i="9"/>
  <c r="H24" i="9"/>
  <c r="E24" i="9"/>
  <c r="D24" i="9"/>
  <c r="C24" i="9"/>
  <c r="B24" i="9"/>
  <c r="A24" i="9"/>
  <c r="I23" i="9"/>
  <c r="H23" i="9"/>
  <c r="E23" i="9"/>
  <c r="D23" i="9"/>
  <c r="C23" i="9"/>
  <c r="B23" i="9"/>
  <c r="A23" i="9"/>
  <c r="I22" i="9"/>
  <c r="H22" i="9"/>
  <c r="E22" i="9"/>
  <c r="D22" i="9"/>
  <c r="C22" i="9"/>
  <c r="B22" i="9"/>
  <c r="A22" i="9"/>
  <c r="I21" i="9"/>
  <c r="H21" i="9"/>
  <c r="E21" i="9"/>
  <c r="D21" i="9"/>
  <c r="C21" i="9"/>
  <c r="B21" i="9"/>
  <c r="A21" i="9"/>
  <c r="I20" i="9"/>
  <c r="H20" i="9"/>
  <c r="E20" i="9"/>
  <c r="D20" i="9"/>
  <c r="C20" i="9"/>
  <c r="B20" i="9"/>
  <c r="A20" i="9"/>
  <c r="I19" i="9"/>
  <c r="H19" i="9"/>
  <c r="E19" i="9"/>
  <c r="D19" i="9"/>
  <c r="C19" i="9"/>
  <c r="B19" i="9"/>
  <c r="A19" i="9"/>
  <c r="I18" i="9"/>
  <c r="H18" i="9"/>
  <c r="E18" i="9"/>
  <c r="D18" i="9"/>
  <c r="C18" i="9"/>
  <c r="B18" i="9"/>
  <c r="A18" i="9"/>
  <c r="I17" i="9"/>
  <c r="H17" i="9"/>
  <c r="E17" i="9"/>
  <c r="D17" i="9"/>
  <c r="C17" i="9"/>
  <c r="B17" i="9"/>
  <c r="A17" i="9"/>
  <c r="I16" i="9"/>
  <c r="H16" i="9"/>
  <c r="E16" i="9"/>
  <c r="D16" i="9"/>
  <c r="C16" i="9"/>
  <c r="B16" i="9"/>
  <c r="A16" i="9"/>
  <c r="I15" i="9"/>
  <c r="H15" i="9"/>
  <c r="E15" i="9"/>
  <c r="D15" i="9"/>
  <c r="C15" i="9"/>
  <c r="F15" i="9" s="1"/>
  <c r="B15" i="9"/>
  <c r="A15" i="9"/>
  <c r="I14" i="9"/>
  <c r="H14" i="9"/>
  <c r="E14" i="9"/>
  <c r="D14" i="9"/>
  <c r="C14" i="9"/>
  <c r="B14" i="9"/>
  <c r="A14" i="9"/>
  <c r="I13" i="9"/>
  <c r="H13" i="9"/>
  <c r="F13" i="9"/>
  <c r="E13" i="9"/>
  <c r="D13" i="9"/>
  <c r="C13" i="9"/>
  <c r="B13" i="9"/>
  <c r="A13" i="9"/>
  <c r="I12" i="9"/>
  <c r="H12" i="9"/>
  <c r="E12" i="9"/>
  <c r="D12" i="9"/>
  <c r="C12" i="9"/>
  <c r="B12" i="9"/>
  <c r="A12" i="9"/>
  <c r="I11" i="9"/>
  <c r="H11" i="9"/>
  <c r="E11" i="9"/>
  <c r="D11" i="9"/>
  <c r="F11" i="9" s="1"/>
  <c r="C11" i="9"/>
  <c r="B11" i="9"/>
  <c r="A11" i="9"/>
  <c r="I10" i="9"/>
  <c r="H10" i="9"/>
  <c r="E10" i="9"/>
  <c r="D10" i="9"/>
  <c r="C10" i="9"/>
  <c r="B10" i="9"/>
  <c r="A10" i="9"/>
  <c r="I9" i="9"/>
  <c r="H9" i="9"/>
  <c r="E9" i="9"/>
  <c r="D9" i="9"/>
  <c r="C9" i="9"/>
  <c r="F9" i="9" s="1"/>
  <c r="B9" i="9"/>
  <c r="A9" i="9"/>
  <c r="I8" i="9"/>
  <c r="H8" i="9"/>
  <c r="E8" i="9"/>
  <c r="D8" i="9"/>
  <c r="C8" i="9"/>
  <c r="B8" i="9"/>
  <c r="A8" i="9"/>
  <c r="I7" i="9"/>
  <c r="H7" i="9"/>
  <c r="E7" i="9"/>
  <c r="D7" i="9"/>
  <c r="C7" i="9"/>
  <c r="B7" i="9"/>
  <c r="A7" i="9"/>
  <c r="I6" i="9"/>
  <c r="H6" i="9"/>
  <c r="E6" i="9"/>
  <c r="D6" i="9"/>
  <c r="C6" i="9"/>
  <c r="F6" i="9" s="1"/>
  <c r="B6" i="9"/>
  <c r="A6" i="9"/>
  <c r="I5" i="9"/>
  <c r="H5" i="9"/>
  <c r="E5" i="9"/>
  <c r="D5" i="9"/>
  <c r="C5" i="9"/>
  <c r="B5" i="9"/>
  <c r="A5" i="9"/>
  <c r="I4" i="9"/>
  <c r="H4" i="9"/>
  <c r="E4" i="9"/>
  <c r="D4" i="9"/>
  <c r="C4" i="9"/>
  <c r="B4" i="9"/>
  <c r="A4" i="9"/>
  <c r="I3" i="9"/>
  <c r="H3" i="9"/>
  <c r="E3" i="9"/>
  <c r="D3" i="9"/>
  <c r="C3" i="9"/>
  <c r="B3" i="9"/>
  <c r="A3" i="9"/>
  <c r="I2" i="9"/>
  <c r="H2" i="9"/>
  <c r="E2" i="9"/>
  <c r="D2" i="9"/>
  <c r="C2" i="9"/>
  <c r="F2" i="9" s="1"/>
  <c r="G2" i="9" s="1"/>
  <c r="B2" i="9"/>
  <c r="A2" i="9"/>
  <c r="F27" i="9" l="1"/>
  <c r="G27" i="9" s="1"/>
  <c r="F12" i="9"/>
  <c r="G25" i="9"/>
  <c r="F43" i="9"/>
  <c r="G43" i="9" s="1"/>
  <c r="G51" i="9"/>
  <c r="G58" i="9"/>
  <c r="F62" i="9"/>
  <c r="G62" i="9" s="1"/>
  <c r="F16" i="9"/>
  <c r="G16" i="9" s="1"/>
  <c r="F20" i="9"/>
  <c r="G20" i="9" s="1"/>
  <c r="F21" i="9"/>
  <c r="F50" i="9"/>
  <c r="F55" i="9"/>
  <c r="G55" i="9" s="1"/>
  <c r="F60" i="9"/>
  <c r="F64" i="9"/>
  <c r="G46" i="9"/>
  <c r="F3" i="9"/>
  <c r="G12" i="9"/>
  <c r="G15" i="9"/>
  <c r="F19" i="9"/>
  <c r="G19" i="9" s="1"/>
  <c r="F34" i="9"/>
  <c r="F37" i="9"/>
  <c r="G50" i="9"/>
  <c r="F53" i="9"/>
  <c r="G59" i="9"/>
  <c r="G66" i="9"/>
  <c r="F69" i="9"/>
  <c r="G69" i="9" s="1"/>
  <c r="F17" i="9"/>
  <c r="F23" i="9"/>
  <c r="F36" i="9"/>
  <c r="G36" i="9" s="1"/>
  <c r="G38" i="9"/>
  <c r="F41" i="9"/>
  <c r="F47" i="9"/>
  <c r="G47" i="9" s="1"/>
  <c r="F52" i="9"/>
  <c r="G52" i="9" s="1"/>
  <c r="G54" i="9"/>
  <c r="F57" i="9"/>
  <c r="G57" i="9" s="1"/>
  <c r="F63" i="9"/>
  <c r="G63" i="9" s="1"/>
  <c r="F68" i="9"/>
  <c r="G68" i="9" s="1"/>
  <c r="G70" i="9"/>
  <c r="F73" i="9"/>
  <c r="G73" i="9" s="1"/>
  <c r="F8" i="9"/>
  <c r="G8" i="9" s="1"/>
  <c r="G32" i="9"/>
  <c r="G33" i="9"/>
  <c r="G11" i="9"/>
  <c r="G23" i="9"/>
  <c r="F5" i="9"/>
  <c r="G5" i="9" s="1"/>
  <c r="F29" i="9"/>
  <c r="G29" i="9" s="1"/>
  <c r="F30" i="9"/>
  <c r="G30" i="9" s="1"/>
  <c r="F24" i="9"/>
  <c r="G24" i="9" s="1"/>
  <c r="G37" i="9"/>
  <c r="G40" i="9"/>
  <c r="G41" i="9"/>
  <c r="G44" i="9"/>
  <c r="G45" i="9"/>
  <c r="G48" i="9"/>
  <c r="G49" i="9"/>
  <c r="G53" i="9"/>
  <c r="G56" i="9"/>
  <c r="G60" i="9"/>
  <c r="G61" i="9"/>
  <c r="G64" i="9"/>
  <c r="G65" i="9"/>
  <c r="G72" i="9"/>
  <c r="F4" i="9"/>
  <c r="G4" i="9" s="1"/>
  <c r="G6" i="9"/>
  <c r="F7" i="9"/>
  <c r="G7" i="9" s="1"/>
  <c r="G9" i="9"/>
  <c r="F10" i="9"/>
  <c r="G10" i="9" s="1"/>
  <c r="G13" i="9"/>
  <c r="F14" i="9"/>
  <c r="G14" i="9" s="1"/>
  <c r="G17" i="9"/>
  <c r="F18" i="9"/>
  <c r="G18" i="9" s="1"/>
  <c r="G21" i="9"/>
  <c r="F22" i="9"/>
  <c r="G22" i="9" s="1"/>
  <c r="G3" i="9"/>
  <c r="G26" i="9"/>
  <c r="F35" i="9"/>
  <c r="G35" i="9" s="1"/>
  <c r="G28" i="9"/>
  <c r="G34" i="9"/>
</calcChain>
</file>

<file path=xl/sharedStrings.xml><?xml version="1.0" encoding="utf-8"?>
<sst xmlns="http://schemas.openxmlformats.org/spreadsheetml/2006/main" count="1505" uniqueCount="408">
  <si>
    <t>region</t>
  </si>
  <si>
    <t>mes</t>
  </si>
  <si>
    <t>Vreq_m3</t>
  </si>
  <si>
    <t>LimSub_m3</t>
  </si>
  <si>
    <t>LimSup_m3</t>
  </si>
  <si>
    <t>P_mm</t>
  </si>
  <si>
    <t>Pef_mm</t>
  </si>
  <si>
    <t>Area_ha</t>
  </si>
  <si>
    <t>AreaProd_ha</t>
  </si>
  <si>
    <t>Prod_ton</t>
  </si>
  <si>
    <t>Uruapan</t>
  </si>
  <si>
    <t>Ene</t>
  </si>
  <si>
    <t>Feb</t>
  </si>
  <si>
    <t>Tancitaro</t>
  </si>
  <si>
    <t>Mar</t>
  </si>
  <si>
    <t>Periban</t>
  </si>
  <si>
    <t>Abr</t>
  </si>
  <si>
    <t>Ario</t>
  </si>
  <si>
    <t>May</t>
  </si>
  <si>
    <t>SalvadorEscalante</t>
  </si>
  <si>
    <t>Jun</t>
  </si>
  <si>
    <t>Tacambaro</t>
  </si>
  <si>
    <t>Jul</t>
  </si>
  <si>
    <t>Ago</t>
  </si>
  <si>
    <t>Sep</t>
  </si>
  <si>
    <t>Oct</t>
  </si>
  <si>
    <t>Nov</t>
  </si>
  <si>
    <t>Dic</t>
  </si>
  <si>
    <t>ET0_mm</t>
  </si>
  <si>
    <t>Kc_efectivo_ET0</t>
  </si>
  <si>
    <t>ETc_mm</t>
  </si>
  <si>
    <t>Fecha representativa</t>
  </si>
  <si>
    <t>Día del año</t>
  </si>
  <si>
    <t>Mes</t>
  </si>
  <si>
    <t>Kc diario E1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</si>
  <si>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</si>
  <si>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</si>
  <si>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</si>
  <si>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</si>
  <si>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</si>
  <si>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</si>
  <si>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</si>
  <si>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</si>
  <si>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</si>
  <si>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</si>
  <si>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</si>
  <si>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</si>
  <si>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</si>
  <si>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</si>
  <si>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</si>
  <si>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</si>
  <si>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</si>
  <si>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</si>
  <si>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</si>
  <si>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</si>
  <si>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</si>
  <si>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</si>
  <si>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</si>
  <si>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</si>
  <si>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</si>
  <si>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</si>
  <si>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</si>
  <si>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</si>
  <si>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</si>
  <si>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</si>
  <si>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</si>
  <si>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</si>
  <si>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</si>
  <si>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</si>
  <si>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</si>
  <si>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</si>
  <si>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</si>
  <si>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</si>
  <si>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</si>
  <si>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</si>
  <si>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</si>
  <si>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</si>
  <si>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</si>
  <si>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</si>
  <si>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</si>
  <si>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</si>
  <si>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</si>
  <si>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</si>
  <si>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</si>
  <si>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</si>
  <si>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</si>
  <si>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</si>
  <si>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</si>
  <si>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</si>
  <si>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</si>
  <si>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</si>
  <si>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</si>
  <si>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</si>
  <si>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</si>
  <si>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</si>
  <si>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</si>
  <si>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</si>
  <si>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</si>
  <si>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</si>
  <si>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</si>
  <si>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</si>
  <si>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</si>
  <si>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</si>
  <si>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</si>
  <si>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</si>
  <si>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</si>
  <si>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</si>
  <si>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</si>
  <si>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</si>
  <si>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</si>
  <si>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</si>
  <si>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</si>
  <si>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</si>
  <si>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</si>
  <si>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</si>
  <si>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</si>
  <si>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</si>
  <si>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</si>
  <si>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</si>
  <si>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</si>
  <si>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</si>
  <si>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</si>
  <si>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</si>
  <si>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</si>
  <si>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</si>
  <si>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</si>
  <si>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</si>
  <si>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</si>
  <si>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</si>
  <si>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</si>
  <si>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</si>
  <si>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</si>
  <si>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</si>
  <si>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</si>
  <si>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</si>
  <si>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</si>
  <si>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</si>
  <si>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</si>
  <si>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</si>
  <si>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</si>
  <si>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</si>
  <si>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</si>
  <si>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</si>
  <si>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</si>
  <si>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</si>
  <si>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</si>
  <si>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</si>
  <si>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</si>
  <si>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</si>
  <si>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</si>
  <si>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</si>
  <si>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</si>
  <si>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</si>
  <si>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</si>
  <si>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</si>
  <si>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</si>
  <si>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</si>
  <si>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</si>
  <si>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</si>
  <si>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</si>
  <si>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</si>
  <si>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</si>
  <si>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</si>
  <si>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</si>
  <si>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</si>
  <si>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</si>
  <si>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</si>
  <si>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</si>
  <si>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</si>
  <si>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</si>
  <si>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</si>
  <si>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</si>
  <si>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</si>
  <si>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</si>
  <si>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</si>
  <si>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</si>
  <si>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</si>
  <si>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</si>
  <si>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</si>
  <si>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</si>
  <si>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</si>
  <si>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</si>
  <si>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</si>
  <si>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</si>
  <si>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</si>
  <si>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</si>
  <si>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</si>
  <si>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</si>
  <si>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</si>
  <si>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</si>
  <si>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</si>
  <si>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</si>
  <si>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</si>
  <si>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</si>
  <si>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</si>
  <si>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</si>
  <si>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</si>
  <si>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</si>
  <si>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</si>
  <si>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</si>
  <si>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</si>
  <si>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</si>
  <si>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</si>
  <si>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</si>
  <si>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</si>
  <si>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</si>
  <si>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</si>
  <si>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</si>
  <si>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</si>
  <si>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</si>
  <si>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</si>
  <si>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</si>
  <si>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</si>
  <si>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</si>
  <si>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</si>
  <si>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</si>
  <si>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</si>
  <si>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</si>
  <si>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</si>
  <si>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</si>
  <si>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</si>
  <si>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</si>
  <si>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</si>
  <si>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</si>
  <si>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</si>
  <si>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</si>
  <si>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</si>
  <si>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</si>
  <si>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</si>
  <si>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</si>
  <si>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</si>
  <si>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</si>
  <si>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</si>
  <si>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</si>
  <si>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</si>
  <si>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</si>
  <si>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</si>
  <si>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</si>
  <si>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</si>
  <si>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</si>
  <si>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</si>
  <si>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</si>
  <si>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</si>
  <si>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</si>
  <si>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</si>
  <si>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</si>
  <si>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</si>
  <si>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</si>
  <si>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</si>
  <si>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</si>
  <si>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</si>
  <si>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</si>
  <si>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</si>
  <si>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</si>
  <si>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</si>
  <si>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</si>
  <si>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</si>
  <si>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</si>
  <si>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</si>
  <si>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</si>
  <si>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</si>
  <si>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</si>
  <si>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</si>
  <si>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</si>
  <si>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</si>
  <si>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</si>
  <si>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</si>
  <si>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</si>
  <si>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</si>
  <si>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</si>
  <si>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</si>
  <si>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</si>
  <si>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</si>
  <si>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</si>
  <si>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</si>
  <si>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</si>
  <si>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</si>
  <si>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</si>
  <si>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</si>
  <si>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</si>
  <si>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</si>
  <si>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</si>
  <si>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</si>
  <si>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</si>
  <si>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</si>
  <si>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</si>
  <si>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</si>
  <si>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</si>
  <si>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</si>
  <si>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</si>
  <si>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</si>
  <si>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</si>
  <si>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</si>
  <si>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</si>
  <si>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</si>
  <si>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</si>
  <si>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</si>
  <si>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</si>
  <si>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</si>
  <si>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</si>
  <si>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</si>
  <si>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</si>
  <si>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</si>
  <si>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</si>
  <si>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</si>
  <si>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</si>
  <si>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</si>
  <si>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</si>
  <si>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</si>
  <si>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</si>
  <si>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</si>
  <si>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</si>
  <si>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</si>
  <si>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</si>
  <si>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</si>
  <si>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</si>
  <si>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</si>
  <si>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</si>
  <si>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</si>
  <si>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</si>
  <si>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</si>
  <si>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</si>
  <si>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</si>
  <si>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</si>
  <si>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</si>
  <si>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</si>
  <si>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</si>
  <si>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</si>
  <si>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</si>
  <si>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</si>
  <si>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</si>
  <si>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</si>
  <si>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</si>
  <si>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</si>
  <si>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</si>
  <si>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</si>
  <si>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</si>
  <si>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</si>
  <si>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</si>
  <si>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</si>
  <si>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</si>
  <si>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</si>
  <si>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</si>
  <si>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</si>
  <si>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</si>
  <si>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</si>
  <si>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</si>
  <si>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</si>
  <si>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</si>
  <si>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</si>
  <si>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</si>
  <si>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</si>
  <si>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</si>
  <si>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</si>
  <si>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</si>
  <si>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</si>
  <si>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</si>
  <si>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</si>
  <si>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</si>
  <si>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</si>
  <si>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</si>
  <si>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</si>
  <si>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</si>
  <si>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</si>
  <si>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</si>
  <si>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</si>
  <si>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</si>
  <si>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</si>
  <si>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</si>
  <si>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</si>
  <si>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</si>
  <si>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</si>
  <si>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</si>
  <si>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</si>
  <si>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</si>
  <si>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</si>
  <si>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</si>
  <si>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</si>
  <si>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</si>
  <si>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</si>
  <si>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</si>
  <si>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</si>
  <si>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</si>
  <si>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</si>
  <si>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</si>
  <si>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</si>
  <si>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</si>
  <si>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</si>
  <si>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</si>
  <si>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</si>
  <si>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</si>
  <si>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</si>
  <si>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</si>
  <si>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</si>
  <si>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</si>
  <si>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</si>
  <si>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</si>
  <si>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</si>
  <si>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</si>
  <si>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</si>
  <si>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Región</t>
  </si>
  <si>
    <t>ET0 mm</t>
  </si>
  <si>
    <t>Kc efectivo</t>
  </si>
  <si>
    <t>ETc base mm</t>
  </si>
  <si>
    <t>ETc=ET0×Kc</t>
  </si>
  <si>
    <t>Residuo ETc mm</t>
  </si>
  <si>
    <t>Pef mm</t>
  </si>
  <si>
    <t>Área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</si>
</sst>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#,##0.000"/>
  </numFmts>
  <fonts count="2">
    <font>
      <sz val="11"/>
      <name val="Carlito"/>
    </font>
    <font>
      <b/>
      <sz val="11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8064A2"/>
      </patternFill>
    </fill>
    <fill>
      <patternFill patternType="solid">
        <fgColor rgb="FFBF9000"/>
      </patternFill>
    </fill>
    <fill>
      <patternFill patternType="solid">
        <fgColor rgb="FFC65911"/>
      </patternFill>
    </fill>
    <fill>
      <patternFill patternType="solid">
        <fgColor rgb="FFF2F2F2"/>
      </patternFill>
    </fill>
    <fill>
      <patternFill patternType="solid">
        <fgColor rgb="FF16465D"/>
      </patternFill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horizontal="center" vertical="center" wrapText="1"/>
    </xf>
    <xf numFmtId="0" fontId="1" fillId="5" borderId="0" xfId="0" applyNumberFormat="1" applyFont="1" applyFill="1" applyBorder="1" applyAlignment="1">
      <alignment horizontal="center" vertical="center" wrapText="1"/>
    </xf>
    <xf numFmtId="0" fontId="1" fillId="6" borderId="0" xfId="0" applyNumberFormat="1" applyFont="1" applyFill="1" applyBorder="1" applyAlignment="1">
      <alignment horizontal="center" vertical="center" wrapText="1"/>
    </xf>
    <xf numFmtId="0" fontId="0" fillId="7" borderId="0" xfId="0" applyNumberFormat="1" applyFont="1" applyFill="1" applyBorder="1"/>
    <xf numFmtId="4" fontId="0" fillId="0" borderId="0" xfId="0" applyNumberFormat="1" applyFont="1" applyFill="1" applyBorder="1"/>
    <xf numFmtId="164" fontId="0" fillId="0" borderId="0" xfId="0" applyNumberFormat="1" applyFont="1" applyFill="1" applyBorder="1"/>
    <xf numFmtId="0" fontId="1" fillId="8" borderId="0" xfId="0" applyNumberFormat="1" applyFont="1" applyFill="1" applyBorder="1"/>
    <xf numFmtId="165" fontId="0" fillId="0" borderId="0" xfId="0" applyNumberFormat="1" applyFont="1" applyFill="1" applyBorder="1"/>
    <xf numFmtId="0" fontId="1" fillId="9" borderId="0" xfId="0" applyNumberFormat="1" applyFont="1" applyFill="1" applyBorder="1"/>
    <xf numFmtId="2" fontId="0" fillId="0" borderId="0" xfId="0" applyNumberFormat="1" applyFont="1" applyFill="1" applyBorder="1"/>
    <xf numFmtId="0" fontId="1" fillId="9" borderId="0" xfId="0" applyNumberFormat="1" applyFont="1" applyFill="1" applyBorder="1" applyAlignment="1">
      <alignment wrapText="1"/>
    </xf>
    <xf numFmtId="166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"/>
  <sheetViews>
    <sheetView tabSelected="1" topLeftCell="K1" workbookViewId="0">
      <selection activeCell="B7" sqref="B7"/>
    </sheetView>
  </sheetViews>
  <sheetFormatPr baseColWidth="10" defaultColWidth="9" defaultRowHeight="13.5"/>
  <cols>
    <col min="1" max="1" width="8" customWidth="1"/>
    <col min="2" max="2" width="20" customWidth="1"/>
    <col min="3" max="3" width="8" customWidth="1"/>
    <col min="4" max="4" width="18" customWidth="1"/>
    <col min="5" max="5" width="3" customWidth="1"/>
    <col min="6" max="6" width="20" customWidth="1"/>
    <col min="7" max="8" width="18" customWidth="1"/>
    <col min="9" max="9" width="3" customWidth="1"/>
    <col min="10" max="10" width="20" customWidth="1"/>
    <col min="11" max="11" width="8" customWidth="1"/>
    <col min="12" max="13" width="12" customWidth="1"/>
    <col min="14" max="14" width="3" customWidth="1"/>
    <col min="15" max="15" width="20" customWidth="1"/>
    <col min="16" max="16" width="14" customWidth="1"/>
    <col min="17" max="17" width="3" customWidth="1"/>
    <col min="18" max="18" width="20" customWidth="1"/>
    <col min="19" max="20" width="14" customWidth="1"/>
  </cols>
  <sheetData>
    <row r="1" spans="1:20" ht="13.9">
      <c r="A1" s="1"/>
      <c r="B1" s="1" t="s">
        <v>0</v>
      </c>
      <c r="C1" s="1" t="s">
        <v>1</v>
      </c>
      <c r="D1" s="1" t="s">
        <v>2</v>
      </c>
      <c r="E1" s="6"/>
      <c r="F1" s="2" t="s">
        <v>0</v>
      </c>
      <c r="G1" s="2" t="s">
        <v>3</v>
      </c>
      <c r="H1" s="2" t="s">
        <v>4</v>
      </c>
      <c r="I1" s="6"/>
      <c r="J1" s="3" t="s">
        <v>0</v>
      </c>
      <c r="K1" s="3" t="s">
        <v>1</v>
      </c>
      <c r="L1" s="3" t="s">
        <v>5</v>
      </c>
      <c r="M1" s="3" t="s">
        <v>6</v>
      </c>
      <c r="N1" s="6"/>
      <c r="O1" s="4" t="s">
        <v>0</v>
      </c>
      <c r="P1" s="4" t="s">
        <v>7</v>
      </c>
      <c r="Q1" s="6"/>
      <c r="R1" s="5" t="s">
        <v>0</v>
      </c>
      <c r="S1" s="5" t="s">
        <v>8</v>
      </c>
      <c r="T1" s="5" t="s">
        <v>9</v>
      </c>
    </row>
    <row r="2" spans="1:20">
      <c r="A2">
        <v>0</v>
      </c>
      <c r="B2" t="s">
        <v>10</v>
      </c>
      <c r="C2" t="s">
        <v>11</v>
      </c>
      <c r="D2" s="7">
        <v>7731677.2632000018</v>
      </c>
      <c r="F2" t="s">
        <v>10</v>
      </c>
      <c r="G2" s="7">
        <v>17466016.86995554</v>
      </c>
      <c r="H2" s="7">
        <v>54297077.280438378</v>
      </c>
      <c r="J2" t="s">
        <v>10</v>
      </c>
      <c r="K2" t="s">
        <v>11</v>
      </c>
      <c r="L2" s="8">
        <v>39.6</v>
      </c>
      <c r="M2" s="8">
        <v>37.090944</v>
      </c>
      <c r="O2" t="s">
        <v>10</v>
      </c>
      <c r="P2" s="7">
        <v>11879</v>
      </c>
      <c r="R2" t="s">
        <v>10</v>
      </c>
      <c r="S2" s="7">
        <v>11731</v>
      </c>
      <c r="T2" s="7">
        <v>135683.22</v>
      </c>
    </row>
    <row r="3" spans="1:20">
      <c r="A3">
        <v>1</v>
      </c>
      <c r="B3" t="s">
        <v>10</v>
      </c>
      <c r="C3" t="s">
        <v>12</v>
      </c>
      <c r="D3" s="7">
        <v>14142724.0108</v>
      </c>
      <c r="F3" t="s">
        <v>13</v>
      </c>
      <c r="G3" s="7">
        <v>11373790.70865153</v>
      </c>
      <c r="H3" s="7">
        <v>7800166.9054420907</v>
      </c>
      <c r="J3" t="s">
        <v>10</v>
      </c>
      <c r="K3" t="s">
        <v>12</v>
      </c>
      <c r="L3" s="8">
        <v>7.7</v>
      </c>
      <c r="M3" s="8">
        <v>7.6051359999999999</v>
      </c>
      <c r="O3" t="s">
        <v>13</v>
      </c>
      <c r="P3" s="7">
        <v>3865</v>
      </c>
      <c r="R3" t="s">
        <v>13</v>
      </c>
      <c r="S3" s="7">
        <v>3830</v>
      </c>
      <c r="T3" s="7">
        <v>43555.6</v>
      </c>
    </row>
    <row r="4" spans="1:20">
      <c r="A4">
        <v>2</v>
      </c>
      <c r="B4" t="s">
        <v>10</v>
      </c>
      <c r="C4" t="s">
        <v>14</v>
      </c>
      <c r="D4" s="7">
        <v>19886724.859200001</v>
      </c>
      <c r="F4" t="s">
        <v>15</v>
      </c>
      <c r="G4" s="7">
        <v>8001509.5389835257</v>
      </c>
      <c r="H4" s="7">
        <v>21476524.601829652</v>
      </c>
      <c r="J4" t="s">
        <v>10</v>
      </c>
      <c r="K4" t="s">
        <v>14</v>
      </c>
      <c r="L4" s="8">
        <v>3.6</v>
      </c>
      <c r="M4" s="8">
        <v>3.5792640000000002</v>
      </c>
      <c r="O4" t="s">
        <v>15</v>
      </c>
      <c r="P4" s="7">
        <v>2876</v>
      </c>
      <c r="R4" t="s">
        <v>15</v>
      </c>
      <c r="S4" s="7">
        <v>2862</v>
      </c>
      <c r="T4" s="7">
        <v>34748.559999999998</v>
      </c>
    </row>
    <row r="5" spans="1:20">
      <c r="A5">
        <v>3</v>
      </c>
      <c r="B5" t="s">
        <v>10</v>
      </c>
      <c r="C5" t="s">
        <v>16</v>
      </c>
      <c r="D5" s="7">
        <v>20662790.789999999</v>
      </c>
      <c r="F5" t="s">
        <v>17</v>
      </c>
      <c r="G5" s="7">
        <v>7247764.3063034685</v>
      </c>
      <c r="H5" s="7">
        <v>66967719.526267864</v>
      </c>
      <c r="J5" t="s">
        <v>10</v>
      </c>
      <c r="K5" t="s">
        <v>16</v>
      </c>
      <c r="L5" s="8">
        <v>10</v>
      </c>
      <c r="M5" s="8">
        <v>9.84</v>
      </c>
      <c r="O5" t="s">
        <v>17</v>
      </c>
      <c r="P5" s="7">
        <v>8302</v>
      </c>
      <c r="R5" t="s">
        <v>17</v>
      </c>
      <c r="S5" s="7">
        <v>8231</v>
      </c>
      <c r="T5" s="7">
        <v>98500</v>
      </c>
    </row>
    <row r="6" spans="1:20">
      <c r="A6">
        <v>4</v>
      </c>
      <c r="B6" t="s">
        <v>10</v>
      </c>
      <c r="C6" t="s">
        <v>18</v>
      </c>
      <c r="D6" s="7">
        <v>15682299.430000002</v>
      </c>
      <c r="F6" t="s">
        <v>19</v>
      </c>
      <c r="G6" s="7">
        <v>8540375.272936089</v>
      </c>
      <c r="H6" s="7">
        <v>19505419.30940764</v>
      </c>
      <c r="J6" t="s">
        <v>10</v>
      </c>
      <c r="K6" t="s">
        <v>18</v>
      </c>
      <c r="L6" s="8">
        <v>33.5</v>
      </c>
      <c r="M6" s="8">
        <v>31.704399999999996</v>
      </c>
      <c r="O6" t="s">
        <v>19</v>
      </c>
      <c r="P6" s="7">
        <v>8246</v>
      </c>
      <c r="R6" t="s">
        <v>19</v>
      </c>
      <c r="S6" s="7">
        <v>8155</v>
      </c>
      <c r="T6" s="7">
        <v>103731.6</v>
      </c>
    </row>
    <row r="7" spans="1:20">
      <c r="A7">
        <v>5</v>
      </c>
      <c r="B7" t="s">
        <v>10</v>
      </c>
      <c r="C7" t="s">
        <v>20</v>
      </c>
      <c r="D7" s="7">
        <v>0</v>
      </c>
      <c r="F7" t="s">
        <v>21</v>
      </c>
      <c r="G7" s="7">
        <v>7183648.1506389929</v>
      </c>
      <c r="H7" s="7">
        <v>95863551.637382254</v>
      </c>
      <c r="J7" t="s">
        <v>10</v>
      </c>
      <c r="K7" t="s">
        <v>20</v>
      </c>
      <c r="L7" s="8">
        <v>273.60000000000002</v>
      </c>
      <c r="M7" s="8">
        <v>152.36000000000001</v>
      </c>
      <c r="O7" t="s">
        <v>21</v>
      </c>
      <c r="P7" s="7">
        <v>10333</v>
      </c>
      <c r="R7" t="s">
        <v>21</v>
      </c>
      <c r="S7" s="7">
        <v>10145</v>
      </c>
      <c r="T7" s="7">
        <v>140026.5</v>
      </c>
    </row>
    <row r="8" spans="1:20">
      <c r="A8">
        <v>6</v>
      </c>
      <c r="B8" t="s">
        <v>10</v>
      </c>
      <c r="C8" t="s">
        <v>22</v>
      </c>
      <c r="D8" s="7">
        <v>0</v>
      </c>
      <c r="J8" t="s">
        <v>10</v>
      </c>
      <c r="K8" t="s">
        <v>22</v>
      </c>
      <c r="L8" s="8">
        <v>321.89999999999998</v>
      </c>
      <c r="M8" s="8">
        <v>157.19</v>
      </c>
    </row>
    <row r="9" spans="1:20">
      <c r="A9">
        <v>7</v>
      </c>
      <c r="B9" t="s">
        <v>10</v>
      </c>
      <c r="C9" t="s">
        <v>23</v>
      </c>
      <c r="D9" s="7">
        <v>0</v>
      </c>
      <c r="J9" t="s">
        <v>10</v>
      </c>
      <c r="K9" t="s">
        <v>23</v>
      </c>
      <c r="L9" s="8">
        <v>326.89999999999998</v>
      </c>
      <c r="M9" s="8">
        <v>157.69</v>
      </c>
    </row>
    <row r="10" spans="1:20">
      <c r="A10">
        <v>8</v>
      </c>
      <c r="B10" t="s">
        <v>10</v>
      </c>
      <c r="C10" t="s">
        <v>24</v>
      </c>
      <c r="D10" s="7">
        <v>0</v>
      </c>
      <c r="J10" t="s">
        <v>10</v>
      </c>
      <c r="K10" t="s">
        <v>24</v>
      </c>
      <c r="L10" s="8">
        <v>285.5</v>
      </c>
      <c r="M10" s="8">
        <v>153.55000000000001</v>
      </c>
    </row>
    <row r="11" spans="1:20">
      <c r="A11">
        <v>9</v>
      </c>
      <c r="B11" t="s">
        <v>10</v>
      </c>
      <c r="C11" t="s">
        <v>25</v>
      </c>
      <c r="D11" s="7">
        <v>0</v>
      </c>
      <c r="J11" t="s">
        <v>10</v>
      </c>
      <c r="K11" t="s">
        <v>25</v>
      </c>
      <c r="L11" s="8">
        <v>135.9</v>
      </c>
      <c r="M11" s="8">
        <v>106.349904</v>
      </c>
    </row>
    <row r="12" spans="1:20">
      <c r="A12">
        <v>10</v>
      </c>
      <c r="B12" t="s">
        <v>10</v>
      </c>
      <c r="C12" t="s">
        <v>26</v>
      </c>
      <c r="D12" s="7">
        <v>8325855.3400000008</v>
      </c>
      <c r="J12" t="s">
        <v>10</v>
      </c>
      <c r="K12" t="s">
        <v>26</v>
      </c>
      <c r="L12" s="8">
        <v>31</v>
      </c>
      <c r="M12" s="8">
        <v>29.462399999999999</v>
      </c>
    </row>
    <row r="13" spans="1:20">
      <c r="A13">
        <v>11</v>
      </c>
      <c r="B13" t="s">
        <v>10</v>
      </c>
      <c r="C13" t="s">
        <v>27</v>
      </c>
      <c r="D13" s="7">
        <v>11303476.7048</v>
      </c>
      <c r="J13" t="s">
        <v>10</v>
      </c>
      <c r="K13" t="s">
        <v>27</v>
      </c>
      <c r="L13" s="8">
        <v>11.8</v>
      </c>
      <c r="M13" s="8">
        <v>11.577216</v>
      </c>
    </row>
    <row r="14" spans="1:20">
      <c r="A14">
        <v>12</v>
      </c>
      <c r="B14" t="s">
        <v>13</v>
      </c>
      <c r="C14" t="s">
        <v>11</v>
      </c>
      <c r="D14" s="7">
        <v>2947294.4</v>
      </c>
      <c r="J14" t="s">
        <v>13</v>
      </c>
      <c r="K14" t="s">
        <v>11</v>
      </c>
      <c r="L14" s="8">
        <v>26.5</v>
      </c>
      <c r="M14" s="8">
        <v>25.3764</v>
      </c>
    </row>
    <row r="15" spans="1:20">
      <c r="A15">
        <v>13</v>
      </c>
      <c r="B15" t="s">
        <v>13</v>
      </c>
      <c r="C15" t="s">
        <v>12</v>
      </c>
      <c r="D15" s="7">
        <v>4124722.478571428</v>
      </c>
      <c r="J15" t="s">
        <v>13</v>
      </c>
      <c r="K15" t="s">
        <v>12</v>
      </c>
      <c r="L15" s="8">
        <v>13</v>
      </c>
      <c r="M15" s="8">
        <v>12.7296</v>
      </c>
    </row>
    <row r="16" spans="1:20">
      <c r="A16">
        <v>14</v>
      </c>
      <c r="B16" t="s">
        <v>13</v>
      </c>
      <c r="C16" t="s">
        <v>14</v>
      </c>
      <c r="D16" s="7">
        <v>5600610.4951428585</v>
      </c>
      <c r="J16" t="s">
        <v>13</v>
      </c>
      <c r="K16" t="s">
        <v>14</v>
      </c>
      <c r="L16" s="8">
        <v>15.7</v>
      </c>
      <c r="M16" s="8">
        <v>15.305616000000001</v>
      </c>
    </row>
    <row r="17" spans="1:13">
      <c r="A17">
        <v>15</v>
      </c>
      <c r="B17" t="s">
        <v>13</v>
      </c>
      <c r="C17" t="s">
        <v>16</v>
      </c>
      <c r="D17" s="7">
        <v>6944524.0008571427</v>
      </c>
      <c r="J17" t="s">
        <v>13</v>
      </c>
      <c r="K17" t="s">
        <v>16</v>
      </c>
      <c r="L17" s="8">
        <v>2.2000000000000002</v>
      </c>
      <c r="M17" s="8">
        <v>2.1922560000000004</v>
      </c>
    </row>
    <row r="18" spans="1:13">
      <c r="A18">
        <v>16</v>
      </c>
      <c r="B18" t="s">
        <v>13</v>
      </c>
      <c r="C18" t="s">
        <v>18</v>
      </c>
      <c r="D18" s="7">
        <v>3264191.0505714291</v>
      </c>
      <c r="J18" t="s">
        <v>13</v>
      </c>
      <c r="K18" t="s">
        <v>18</v>
      </c>
      <c r="L18" s="8">
        <v>70.900000000000006</v>
      </c>
      <c r="M18" s="8">
        <v>62.857104</v>
      </c>
    </row>
    <row r="19" spans="1:13">
      <c r="A19">
        <v>17</v>
      </c>
      <c r="B19" t="s">
        <v>13</v>
      </c>
      <c r="C19" t="s">
        <v>20</v>
      </c>
      <c r="D19" s="7">
        <v>0</v>
      </c>
      <c r="J19" t="s">
        <v>13</v>
      </c>
      <c r="K19" t="s">
        <v>20</v>
      </c>
      <c r="L19" s="8">
        <v>300.60000000000002</v>
      </c>
      <c r="M19" s="8">
        <v>155.06</v>
      </c>
    </row>
    <row r="20" spans="1:13">
      <c r="A20">
        <v>18</v>
      </c>
      <c r="B20" t="s">
        <v>13</v>
      </c>
      <c r="C20" t="s">
        <v>22</v>
      </c>
      <c r="D20" s="7">
        <v>0</v>
      </c>
      <c r="J20" t="s">
        <v>13</v>
      </c>
      <c r="K20" t="s">
        <v>22</v>
      </c>
      <c r="L20" s="8">
        <v>285.39999999999998</v>
      </c>
      <c r="M20" s="8">
        <v>153.54</v>
      </c>
    </row>
    <row r="21" spans="1:13">
      <c r="A21">
        <v>19</v>
      </c>
      <c r="B21" t="s">
        <v>13</v>
      </c>
      <c r="C21" t="s">
        <v>23</v>
      </c>
      <c r="D21" s="7">
        <v>0</v>
      </c>
      <c r="J21" t="s">
        <v>13</v>
      </c>
      <c r="K21" t="s">
        <v>23</v>
      </c>
      <c r="L21" s="8">
        <v>299.7</v>
      </c>
      <c r="M21" s="8">
        <v>154.97</v>
      </c>
    </row>
    <row r="22" spans="1:13">
      <c r="A22">
        <v>20</v>
      </c>
      <c r="B22" t="s">
        <v>13</v>
      </c>
      <c r="C22" t="s">
        <v>24</v>
      </c>
      <c r="D22" s="7">
        <v>0</v>
      </c>
      <c r="J22" t="s">
        <v>13</v>
      </c>
      <c r="K22" t="s">
        <v>24</v>
      </c>
      <c r="L22" s="8">
        <v>317.89999999999998</v>
      </c>
      <c r="M22" s="8">
        <v>156.79</v>
      </c>
    </row>
    <row r="23" spans="1:13">
      <c r="A23">
        <v>21</v>
      </c>
      <c r="B23" t="s">
        <v>13</v>
      </c>
      <c r="C23" t="s">
        <v>25</v>
      </c>
      <c r="D23" s="7">
        <v>0</v>
      </c>
      <c r="J23" t="s">
        <v>13</v>
      </c>
      <c r="K23" t="s">
        <v>25</v>
      </c>
      <c r="L23" s="8">
        <v>208.5</v>
      </c>
      <c r="M23" s="8">
        <v>138.9444</v>
      </c>
    </row>
    <row r="24" spans="1:13">
      <c r="A24">
        <v>22</v>
      </c>
      <c r="B24" t="s">
        <v>13</v>
      </c>
      <c r="C24" t="s">
        <v>26</v>
      </c>
      <c r="D24" s="7">
        <v>1227042.3105714286</v>
      </c>
      <c r="J24" t="s">
        <v>13</v>
      </c>
      <c r="K24" t="s">
        <v>26</v>
      </c>
      <c r="L24" s="8">
        <v>56.9</v>
      </c>
      <c r="M24" s="8">
        <v>51.719824000000003</v>
      </c>
    </row>
    <row r="25" spans="1:13">
      <c r="A25">
        <v>23</v>
      </c>
      <c r="B25" t="s">
        <v>13</v>
      </c>
      <c r="C25" t="s">
        <v>27</v>
      </c>
      <c r="D25" s="7">
        <v>3485226.4251428572</v>
      </c>
      <c r="J25" t="s">
        <v>13</v>
      </c>
      <c r="K25" t="s">
        <v>27</v>
      </c>
      <c r="L25" s="8">
        <v>10.8</v>
      </c>
      <c r="M25" s="8">
        <v>10.613376000000001</v>
      </c>
    </row>
    <row r="26" spans="1:13">
      <c r="A26">
        <v>24</v>
      </c>
      <c r="B26" t="s">
        <v>15</v>
      </c>
      <c r="C26" t="s">
        <v>11</v>
      </c>
      <c r="D26" s="7">
        <v>2604675.8592000003</v>
      </c>
      <c r="J26" t="s">
        <v>15</v>
      </c>
      <c r="K26" t="s">
        <v>11</v>
      </c>
      <c r="L26" s="8">
        <v>20.3</v>
      </c>
      <c r="M26" s="8">
        <v>19.640656</v>
      </c>
    </row>
    <row r="27" spans="1:13">
      <c r="A27">
        <v>25</v>
      </c>
      <c r="B27" t="s">
        <v>15</v>
      </c>
      <c r="C27" t="s">
        <v>12</v>
      </c>
      <c r="D27" s="7">
        <v>3532008.861942857</v>
      </c>
      <c r="J27" t="s">
        <v>15</v>
      </c>
      <c r="K27" t="s">
        <v>12</v>
      </c>
      <c r="L27" s="8">
        <v>6.1</v>
      </c>
      <c r="M27" s="8">
        <v>6.0404640000000001</v>
      </c>
    </row>
    <row r="28" spans="1:13">
      <c r="A28">
        <v>26</v>
      </c>
      <c r="B28" t="s">
        <v>15</v>
      </c>
      <c r="C28" t="s">
        <v>14</v>
      </c>
      <c r="D28" s="7">
        <v>4891250.0128000006</v>
      </c>
      <c r="J28" t="s">
        <v>15</v>
      </c>
      <c r="K28" t="s">
        <v>14</v>
      </c>
      <c r="L28" s="8">
        <v>4.0999999999999996</v>
      </c>
      <c r="M28" s="8">
        <v>4.0731039999999998</v>
      </c>
    </row>
    <row r="29" spans="1:13">
      <c r="A29">
        <v>27</v>
      </c>
      <c r="B29" t="s">
        <v>15</v>
      </c>
      <c r="C29" t="s">
        <v>16</v>
      </c>
      <c r="D29" s="7">
        <v>5460887.1714285715</v>
      </c>
      <c r="J29" t="s">
        <v>15</v>
      </c>
      <c r="K29" t="s">
        <v>16</v>
      </c>
      <c r="L29" s="8">
        <v>2.5</v>
      </c>
      <c r="M29" s="8">
        <v>2.4900000000000002</v>
      </c>
    </row>
    <row r="30" spans="1:13">
      <c r="A30">
        <v>28</v>
      </c>
      <c r="B30" t="s">
        <v>15</v>
      </c>
      <c r="C30" t="s">
        <v>18</v>
      </c>
      <c r="D30" s="7">
        <v>4135313.1339428579</v>
      </c>
      <c r="J30" t="s">
        <v>15</v>
      </c>
      <c r="K30" t="s">
        <v>18</v>
      </c>
      <c r="L30" s="8">
        <v>30.6</v>
      </c>
      <c r="M30" s="8">
        <v>29.101824000000001</v>
      </c>
    </row>
    <row r="31" spans="1:13">
      <c r="A31">
        <v>29</v>
      </c>
      <c r="B31" t="s">
        <v>15</v>
      </c>
      <c r="C31" t="s">
        <v>20</v>
      </c>
      <c r="D31" s="7">
        <v>0</v>
      </c>
      <c r="J31" t="s">
        <v>15</v>
      </c>
      <c r="K31" t="s">
        <v>20</v>
      </c>
      <c r="L31" s="8">
        <v>256.60000000000002</v>
      </c>
      <c r="M31" s="8">
        <v>150.66</v>
      </c>
    </row>
    <row r="32" spans="1:13">
      <c r="A32">
        <v>30</v>
      </c>
      <c r="B32" t="s">
        <v>15</v>
      </c>
      <c r="C32" t="s">
        <v>22</v>
      </c>
      <c r="D32" s="7">
        <v>0</v>
      </c>
      <c r="J32" t="s">
        <v>15</v>
      </c>
      <c r="K32" t="s">
        <v>22</v>
      </c>
      <c r="L32" s="8">
        <v>307.8</v>
      </c>
      <c r="M32" s="8">
        <v>155.78</v>
      </c>
    </row>
    <row r="33" spans="1:13">
      <c r="A33">
        <v>31</v>
      </c>
      <c r="B33" t="s">
        <v>15</v>
      </c>
      <c r="C33" t="s">
        <v>23</v>
      </c>
      <c r="D33" s="7">
        <v>0</v>
      </c>
      <c r="J33" t="s">
        <v>15</v>
      </c>
      <c r="K33" t="s">
        <v>23</v>
      </c>
      <c r="L33" s="8">
        <v>330.9</v>
      </c>
      <c r="M33" s="8">
        <v>158.09</v>
      </c>
    </row>
    <row r="34" spans="1:13">
      <c r="A34">
        <v>32</v>
      </c>
      <c r="B34" t="s">
        <v>15</v>
      </c>
      <c r="C34" t="s">
        <v>24</v>
      </c>
      <c r="D34" s="7">
        <v>0</v>
      </c>
      <c r="J34" t="s">
        <v>15</v>
      </c>
      <c r="K34" t="s">
        <v>24</v>
      </c>
      <c r="L34" s="8">
        <v>266.2</v>
      </c>
      <c r="M34" s="8">
        <v>151.62</v>
      </c>
    </row>
    <row r="35" spans="1:13">
      <c r="A35">
        <v>33</v>
      </c>
      <c r="B35" t="s">
        <v>15</v>
      </c>
      <c r="C35" t="s">
        <v>25</v>
      </c>
      <c r="D35" s="7">
        <v>0</v>
      </c>
      <c r="J35" t="s">
        <v>15</v>
      </c>
      <c r="K35" t="s">
        <v>25</v>
      </c>
      <c r="L35" s="8">
        <v>140.80000000000001</v>
      </c>
      <c r="M35" s="8">
        <v>109.08057600000002</v>
      </c>
    </row>
    <row r="36" spans="1:13">
      <c r="A36">
        <v>34</v>
      </c>
      <c r="B36" t="s">
        <v>15</v>
      </c>
      <c r="C36" t="s">
        <v>26</v>
      </c>
      <c r="D36" s="7">
        <v>2065912.9714285717</v>
      </c>
      <c r="J36" t="s">
        <v>15</v>
      </c>
      <c r="K36" t="s">
        <v>26</v>
      </c>
      <c r="L36" s="8">
        <v>30.5</v>
      </c>
      <c r="M36" s="8">
        <v>29.011600000000001</v>
      </c>
    </row>
    <row r="37" spans="1:13">
      <c r="A37">
        <v>35</v>
      </c>
      <c r="B37" t="s">
        <v>15</v>
      </c>
      <c r="C37" t="s">
        <v>27</v>
      </c>
      <c r="D37" s="7">
        <v>2863645.6900571426</v>
      </c>
      <c r="J37" t="s">
        <v>15</v>
      </c>
      <c r="K37" t="s">
        <v>27</v>
      </c>
      <c r="L37" s="8">
        <v>8.6999999999999993</v>
      </c>
      <c r="M37" s="8">
        <v>8.5788959999999985</v>
      </c>
    </row>
    <row r="38" spans="1:13">
      <c r="A38">
        <v>36</v>
      </c>
      <c r="B38" t="s">
        <v>17</v>
      </c>
      <c r="C38" t="s">
        <v>11</v>
      </c>
      <c r="D38" s="7">
        <v>6552680.3616000004</v>
      </c>
      <c r="J38" t="s">
        <v>17</v>
      </c>
      <c r="K38" t="s">
        <v>11</v>
      </c>
      <c r="L38" s="8">
        <v>25.4</v>
      </c>
      <c r="M38" s="8">
        <v>24.367743999999998</v>
      </c>
    </row>
    <row r="39" spans="1:13">
      <c r="A39">
        <v>37</v>
      </c>
      <c r="B39" t="s">
        <v>17</v>
      </c>
      <c r="C39" t="s">
        <v>12</v>
      </c>
      <c r="D39" s="7">
        <v>9968732.7656000014</v>
      </c>
      <c r="J39" t="s">
        <v>17</v>
      </c>
      <c r="K39" t="s">
        <v>12</v>
      </c>
      <c r="L39" s="8">
        <v>4.0999999999999996</v>
      </c>
      <c r="M39" s="8">
        <v>4.0731039999999998</v>
      </c>
    </row>
    <row r="40" spans="1:13">
      <c r="A40">
        <v>38</v>
      </c>
      <c r="B40" t="s">
        <v>17</v>
      </c>
      <c r="C40" t="s">
        <v>14</v>
      </c>
      <c r="D40" s="7">
        <v>13386749.66</v>
      </c>
      <c r="J40" t="s">
        <v>17</v>
      </c>
      <c r="K40" t="s">
        <v>14</v>
      </c>
      <c r="L40" s="8">
        <v>4</v>
      </c>
      <c r="M40" s="8">
        <v>3.9744000000000002</v>
      </c>
    </row>
    <row r="41" spans="1:13">
      <c r="A41">
        <v>39</v>
      </c>
      <c r="B41" t="s">
        <v>17</v>
      </c>
      <c r="C41" t="s">
        <v>16</v>
      </c>
      <c r="D41" s="7">
        <v>15123139.5264</v>
      </c>
      <c r="J41" t="s">
        <v>17</v>
      </c>
      <c r="K41" t="s">
        <v>16</v>
      </c>
      <c r="L41" s="8">
        <v>0.8</v>
      </c>
      <c r="M41" s="8">
        <v>0.79897600000000013</v>
      </c>
    </row>
    <row r="42" spans="1:13">
      <c r="A42">
        <v>40</v>
      </c>
      <c r="B42" t="s">
        <v>17</v>
      </c>
      <c r="C42" t="s">
        <v>18</v>
      </c>
      <c r="D42" s="7">
        <v>10464549.553600002</v>
      </c>
      <c r="J42" t="s">
        <v>17</v>
      </c>
      <c r="K42" t="s">
        <v>18</v>
      </c>
      <c r="L42" s="8">
        <v>33.1</v>
      </c>
      <c r="M42" s="8">
        <v>31.347024000000001</v>
      </c>
    </row>
    <row r="43" spans="1:13">
      <c r="A43">
        <v>41</v>
      </c>
      <c r="B43" t="s">
        <v>17</v>
      </c>
      <c r="C43" t="s">
        <v>20</v>
      </c>
      <c r="D43" s="7">
        <v>0</v>
      </c>
      <c r="J43" t="s">
        <v>17</v>
      </c>
      <c r="K43" t="s">
        <v>20</v>
      </c>
      <c r="L43" s="8">
        <v>189.6</v>
      </c>
      <c r="M43" s="8">
        <v>132.082944</v>
      </c>
    </row>
    <row r="44" spans="1:13">
      <c r="A44">
        <v>42</v>
      </c>
      <c r="B44" t="s">
        <v>17</v>
      </c>
      <c r="C44" t="s">
        <v>22</v>
      </c>
      <c r="D44" s="7">
        <v>0</v>
      </c>
      <c r="J44" t="s">
        <v>17</v>
      </c>
      <c r="K44" t="s">
        <v>22</v>
      </c>
      <c r="L44" s="8">
        <v>190.2</v>
      </c>
      <c r="M44" s="8">
        <v>132.31833600000002</v>
      </c>
    </row>
    <row r="45" spans="1:13">
      <c r="A45">
        <v>43</v>
      </c>
      <c r="B45" t="s">
        <v>17</v>
      </c>
      <c r="C45" t="s">
        <v>23</v>
      </c>
      <c r="D45" s="7">
        <v>0</v>
      </c>
      <c r="J45" t="s">
        <v>17</v>
      </c>
      <c r="K45" t="s">
        <v>23</v>
      </c>
      <c r="L45" s="8">
        <v>197.1</v>
      </c>
      <c r="M45" s="8">
        <v>134.942544</v>
      </c>
    </row>
    <row r="46" spans="1:13">
      <c r="A46">
        <v>44</v>
      </c>
      <c r="B46" t="s">
        <v>17</v>
      </c>
      <c r="C46" t="s">
        <v>24</v>
      </c>
      <c r="D46" s="7">
        <v>0</v>
      </c>
      <c r="J46" t="s">
        <v>17</v>
      </c>
      <c r="K46" t="s">
        <v>24</v>
      </c>
      <c r="L46" s="8">
        <v>193.6</v>
      </c>
      <c r="M46" s="8">
        <v>133.63046400000002</v>
      </c>
    </row>
    <row r="47" spans="1:13">
      <c r="A47">
        <v>45</v>
      </c>
      <c r="B47" t="s">
        <v>17</v>
      </c>
      <c r="C47" t="s">
        <v>25</v>
      </c>
      <c r="D47" s="7">
        <v>0</v>
      </c>
      <c r="J47" t="s">
        <v>17</v>
      </c>
      <c r="K47" t="s">
        <v>25</v>
      </c>
      <c r="L47" s="8">
        <v>96.4</v>
      </c>
      <c r="M47" s="8">
        <v>81.531264000000007</v>
      </c>
    </row>
    <row r="48" spans="1:13">
      <c r="A48">
        <v>46</v>
      </c>
      <c r="B48" t="s">
        <v>17</v>
      </c>
      <c r="C48" t="s">
        <v>26</v>
      </c>
      <c r="D48" s="7">
        <v>6265547.3895999985</v>
      </c>
      <c r="J48" t="s">
        <v>17</v>
      </c>
      <c r="K48" t="s">
        <v>26</v>
      </c>
      <c r="L48" s="8">
        <v>21.4</v>
      </c>
      <c r="M48" s="8">
        <v>20.667263999999999</v>
      </c>
    </row>
    <row r="49" spans="1:13">
      <c r="A49">
        <v>47</v>
      </c>
      <c r="B49" t="s">
        <v>17</v>
      </c>
      <c r="C49" t="s">
        <v>27</v>
      </c>
      <c r="D49" s="7">
        <v>7951698.7703999989</v>
      </c>
      <c r="J49" t="s">
        <v>17</v>
      </c>
      <c r="K49" t="s">
        <v>27</v>
      </c>
      <c r="L49" s="8">
        <v>7.7</v>
      </c>
      <c r="M49" s="8">
        <v>7.6051359999999999</v>
      </c>
    </row>
    <row r="50" spans="1:13">
      <c r="A50">
        <v>48</v>
      </c>
      <c r="B50" t="s">
        <v>19</v>
      </c>
      <c r="C50" t="s">
        <v>11</v>
      </c>
      <c r="D50" s="7">
        <v>5734365.4672000008</v>
      </c>
      <c r="J50" t="s">
        <v>19</v>
      </c>
      <c r="K50" t="s">
        <v>11</v>
      </c>
      <c r="L50" s="8">
        <v>31.7</v>
      </c>
      <c r="M50" s="8">
        <v>30.092175999999998</v>
      </c>
    </row>
    <row r="51" spans="1:13">
      <c r="A51">
        <v>49</v>
      </c>
      <c r="B51" t="s">
        <v>19</v>
      </c>
      <c r="C51" t="s">
        <v>12</v>
      </c>
      <c r="D51" s="7">
        <v>9318260.8352000006</v>
      </c>
      <c r="J51" t="s">
        <v>19</v>
      </c>
      <c r="K51" t="s">
        <v>12</v>
      </c>
      <c r="L51" s="8">
        <v>8.1999999999999993</v>
      </c>
      <c r="M51" s="8">
        <v>8.0924160000000001</v>
      </c>
    </row>
    <row r="52" spans="1:13">
      <c r="A52">
        <v>50</v>
      </c>
      <c r="B52" t="s">
        <v>19</v>
      </c>
      <c r="C52" t="s">
        <v>14</v>
      </c>
      <c r="D52" s="7">
        <v>12835344.7552</v>
      </c>
      <c r="J52" t="s">
        <v>19</v>
      </c>
      <c r="K52" t="s">
        <v>14</v>
      </c>
      <c r="L52" s="8">
        <v>6.8</v>
      </c>
      <c r="M52" s="8">
        <v>6.7260159999999996</v>
      </c>
    </row>
    <row r="53" spans="1:13">
      <c r="A53">
        <v>51</v>
      </c>
      <c r="B53" t="s">
        <v>19</v>
      </c>
      <c r="C53" t="s">
        <v>16</v>
      </c>
      <c r="D53" s="7">
        <v>14077881.720800001</v>
      </c>
      <c r="J53" t="s">
        <v>19</v>
      </c>
      <c r="K53" t="s">
        <v>16</v>
      </c>
      <c r="L53" s="8">
        <v>6.4</v>
      </c>
      <c r="M53" s="8">
        <v>6.3344639999999997</v>
      </c>
    </row>
    <row r="54" spans="1:13">
      <c r="A54">
        <v>52</v>
      </c>
      <c r="B54" t="s">
        <v>19</v>
      </c>
      <c r="C54" t="s">
        <v>18</v>
      </c>
      <c r="D54" s="7">
        <v>10886479.4608</v>
      </c>
      <c r="J54" t="s">
        <v>19</v>
      </c>
      <c r="K54" t="s">
        <v>18</v>
      </c>
      <c r="L54" s="8">
        <v>26.1</v>
      </c>
      <c r="M54" s="8">
        <v>25.010064000000003</v>
      </c>
    </row>
    <row r="55" spans="1:13">
      <c r="A55">
        <v>53</v>
      </c>
      <c r="B55" t="s">
        <v>19</v>
      </c>
      <c r="C55" t="s">
        <v>20</v>
      </c>
      <c r="D55" s="7">
        <v>0</v>
      </c>
      <c r="J55" t="s">
        <v>19</v>
      </c>
      <c r="K55" t="s">
        <v>20</v>
      </c>
      <c r="L55" s="8">
        <v>149.69999999999999</v>
      </c>
      <c r="M55" s="8">
        <v>113.843856</v>
      </c>
    </row>
    <row r="56" spans="1:13">
      <c r="A56">
        <v>54</v>
      </c>
      <c r="B56" t="s">
        <v>19</v>
      </c>
      <c r="C56" t="s">
        <v>22</v>
      </c>
      <c r="D56" s="7">
        <v>0</v>
      </c>
      <c r="J56" t="s">
        <v>19</v>
      </c>
      <c r="K56" t="s">
        <v>22</v>
      </c>
      <c r="L56" s="8">
        <v>246.1</v>
      </c>
      <c r="M56" s="8">
        <v>149.19566399999999</v>
      </c>
    </row>
    <row r="57" spans="1:13">
      <c r="A57">
        <v>55</v>
      </c>
      <c r="B57" t="s">
        <v>19</v>
      </c>
      <c r="C57" t="s">
        <v>23</v>
      </c>
      <c r="D57" s="7">
        <v>0</v>
      </c>
      <c r="J57" t="s">
        <v>19</v>
      </c>
      <c r="K57" t="s">
        <v>23</v>
      </c>
      <c r="L57" s="8">
        <v>222.8</v>
      </c>
      <c r="M57" s="8">
        <v>143.37625599999998</v>
      </c>
    </row>
    <row r="58" spans="1:13">
      <c r="A58">
        <v>56</v>
      </c>
      <c r="B58" t="s">
        <v>19</v>
      </c>
      <c r="C58" t="s">
        <v>24</v>
      </c>
      <c r="D58" s="7">
        <v>0</v>
      </c>
      <c r="J58" t="s">
        <v>19</v>
      </c>
      <c r="K58" t="s">
        <v>24</v>
      </c>
      <c r="L58" s="8">
        <v>197.3</v>
      </c>
      <c r="M58" s="8">
        <v>135.01633599999997</v>
      </c>
    </row>
    <row r="59" spans="1:13">
      <c r="A59">
        <v>57</v>
      </c>
      <c r="B59" t="s">
        <v>19</v>
      </c>
      <c r="C59" t="s">
        <v>25</v>
      </c>
      <c r="D59" s="7">
        <v>1178518.3199999989</v>
      </c>
      <c r="J59" t="s">
        <v>19</v>
      </c>
      <c r="K59" t="s">
        <v>25</v>
      </c>
      <c r="L59" s="8">
        <v>75.5</v>
      </c>
      <c r="M59" s="8">
        <v>66.379600000000011</v>
      </c>
    </row>
    <row r="60" spans="1:13">
      <c r="A60">
        <v>58</v>
      </c>
      <c r="B60" t="s">
        <v>19</v>
      </c>
      <c r="C60" t="s">
        <v>26</v>
      </c>
      <c r="D60" s="7">
        <v>6163390.2400000012</v>
      </c>
      <c r="J60" t="s">
        <v>19</v>
      </c>
      <c r="K60" t="s">
        <v>26</v>
      </c>
      <c r="L60" s="8">
        <v>23</v>
      </c>
      <c r="M60" s="8">
        <v>22.153600000000001</v>
      </c>
    </row>
    <row r="61" spans="1:13">
      <c r="A61">
        <v>59</v>
      </c>
      <c r="B61" t="s">
        <v>19</v>
      </c>
      <c r="C61" t="s">
        <v>27</v>
      </c>
      <c r="D61" s="7">
        <v>7494601.3912000004</v>
      </c>
      <c r="J61" t="s">
        <v>19</v>
      </c>
      <c r="K61" t="s">
        <v>27</v>
      </c>
      <c r="L61" s="8">
        <v>11.2</v>
      </c>
      <c r="M61" s="8">
        <v>10.999296000000001</v>
      </c>
    </row>
    <row r="62" spans="1:13">
      <c r="A62">
        <v>60</v>
      </c>
      <c r="B62" t="s">
        <v>21</v>
      </c>
      <c r="C62" t="s">
        <v>11</v>
      </c>
      <c r="D62" s="7">
        <v>8828040.4724571444</v>
      </c>
      <c r="J62" t="s">
        <v>21</v>
      </c>
      <c r="K62" t="s">
        <v>11</v>
      </c>
      <c r="L62" s="8">
        <v>24.3</v>
      </c>
      <c r="M62" s="8">
        <v>23.355215999999999</v>
      </c>
    </row>
    <row r="63" spans="1:13">
      <c r="A63">
        <v>61</v>
      </c>
      <c r="B63" t="s">
        <v>21</v>
      </c>
      <c r="C63" t="s">
        <v>12</v>
      </c>
      <c r="D63" s="7">
        <v>11202292.262171431</v>
      </c>
      <c r="J63" t="s">
        <v>21</v>
      </c>
      <c r="K63" t="s">
        <v>12</v>
      </c>
      <c r="L63" s="8">
        <v>17.2</v>
      </c>
      <c r="M63" s="8">
        <v>16.726655999999998</v>
      </c>
    </row>
    <row r="64" spans="1:13">
      <c r="A64">
        <v>62</v>
      </c>
      <c r="B64" t="s">
        <v>21</v>
      </c>
      <c r="C64" t="s">
        <v>14</v>
      </c>
      <c r="D64" s="7">
        <v>16225555.035257146</v>
      </c>
      <c r="J64" t="s">
        <v>21</v>
      </c>
      <c r="K64" t="s">
        <v>14</v>
      </c>
      <c r="L64" s="8">
        <v>14.1</v>
      </c>
      <c r="M64" s="8">
        <v>13.781904000000001</v>
      </c>
    </row>
    <row r="65" spans="1:13">
      <c r="A65">
        <v>63</v>
      </c>
      <c r="B65" t="s">
        <v>21</v>
      </c>
      <c r="C65" t="s">
        <v>16</v>
      </c>
      <c r="D65" s="7">
        <v>19532986.550000004</v>
      </c>
      <c r="J65" t="s">
        <v>21</v>
      </c>
      <c r="K65" t="s">
        <v>16</v>
      </c>
      <c r="L65" s="8">
        <v>3.5</v>
      </c>
      <c r="M65" s="8">
        <v>3.4803999999999999</v>
      </c>
    </row>
    <row r="66" spans="1:13">
      <c r="A66">
        <v>64</v>
      </c>
      <c r="B66" t="s">
        <v>21</v>
      </c>
      <c r="C66" t="s">
        <v>18</v>
      </c>
      <c r="D66" s="7">
        <v>13129523.120000005</v>
      </c>
      <c r="J66" t="s">
        <v>21</v>
      </c>
      <c r="K66" t="s">
        <v>18</v>
      </c>
      <c r="L66" s="8">
        <v>37</v>
      </c>
      <c r="M66" s="8">
        <v>34.809599999999996</v>
      </c>
    </row>
    <row r="67" spans="1:13">
      <c r="A67">
        <v>65</v>
      </c>
      <c r="B67" t="s">
        <v>21</v>
      </c>
      <c r="C67" t="s">
        <v>20</v>
      </c>
      <c r="D67" s="7">
        <v>0</v>
      </c>
      <c r="J67" t="s">
        <v>21</v>
      </c>
      <c r="K67" t="s">
        <v>20</v>
      </c>
      <c r="L67" s="8">
        <v>215.6</v>
      </c>
      <c r="M67" s="8">
        <v>141.22662399999999</v>
      </c>
    </row>
    <row r="68" spans="1:13">
      <c r="A68">
        <v>66</v>
      </c>
      <c r="B68" t="s">
        <v>21</v>
      </c>
      <c r="C68" t="s">
        <v>22</v>
      </c>
      <c r="D68" s="7">
        <v>0</v>
      </c>
      <c r="J68" t="s">
        <v>21</v>
      </c>
      <c r="K68" t="s">
        <v>22</v>
      </c>
      <c r="L68" s="8">
        <v>276.89999999999998</v>
      </c>
      <c r="M68" s="8">
        <v>152.69</v>
      </c>
    </row>
    <row r="69" spans="1:13">
      <c r="A69">
        <v>67</v>
      </c>
      <c r="B69" t="s">
        <v>21</v>
      </c>
      <c r="C69" t="s">
        <v>23</v>
      </c>
      <c r="D69" s="7">
        <v>0</v>
      </c>
      <c r="J69" t="s">
        <v>21</v>
      </c>
      <c r="K69" t="s">
        <v>23</v>
      </c>
      <c r="L69" s="8">
        <v>244.5</v>
      </c>
      <c r="M69" s="8">
        <v>148.85159999999999</v>
      </c>
    </row>
    <row r="70" spans="1:13">
      <c r="A70">
        <v>68</v>
      </c>
      <c r="B70" t="s">
        <v>21</v>
      </c>
      <c r="C70" t="s">
        <v>24</v>
      </c>
      <c r="D70" s="7">
        <v>0</v>
      </c>
      <c r="J70" t="s">
        <v>21</v>
      </c>
      <c r="K70" t="s">
        <v>24</v>
      </c>
      <c r="L70" s="8">
        <v>248.6</v>
      </c>
      <c r="M70" s="8">
        <v>149.71686400000002</v>
      </c>
    </row>
    <row r="71" spans="1:13">
      <c r="A71">
        <v>69</v>
      </c>
      <c r="B71" t="s">
        <v>21</v>
      </c>
      <c r="C71" t="s">
        <v>25</v>
      </c>
      <c r="D71" s="7">
        <v>0</v>
      </c>
      <c r="J71" t="s">
        <v>21</v>
      </c>
      <c r="K71" t="s">
        <v>25</v>
      </c>
      <c r="L71" s="8">
        <v>127.9</v>
      </c>
      <c r="M71" s="8">
        <v>101.726544</v>
      </c>
    </row>
    <row r="72" spans="1:13">
      <c r="A72">
        <v>70</v>
      </c>
      <c r="B72" t="s">
        <v>21</v>
      </c>
      <c r="C72" t="s">
        <v>26</v>
      </c>
      <c r="D72" s="7">
        <v>6390422.593542859</v>
      </c>
      <c r="J72" t="s">
        <v>21</v>
      </c>
      <c r="K72" t="s">
        <v>26</v>
      </c>
      <c r="L72" s="8">
        <v>34.6</v>
      </c>
      <c r="M72" s="8">
        <v>32.684544000000002</v>
      </c>
    </row>
    <row r="73" spans="1:13">
      <c r="A73">
        <v>71</v>
      </c>
      <c r="B73" t="s">
        <v>21</v>
      </c>
      <c r="C73" t="s">
        <v>27</v>
      </c>
      <c r="D73" s="7">
        <v>10618956.032457145</v>
      </c>
      <c r="J73" t="s">
        <v>21</v>
      </c>
      <c r="K73" t="s">
        <v>27</v>
      </c>
      <c r="L73" s="8">
        <v>5.7</v>
      </c>
      <c r="M73" s="8">
        <v>5.6480160000000001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3"/>
  <sheetViews>
    <sheetView workbookViewId="0">
      <pane ySplit="1" topLeftCell="A2" activePane="bottomLeft" state="frozen"/>
      <selection pane="bottomLeft"/>
    </sheetView>
  </sheetViews>
  <sheetFormatPr baseColWidth="10" defaultColWidth="9" defaultRowHeight="13.5"/>
  <cols>
    <col min="1" max="1" width="22" customWidth="1"/>
    <col min="2" max="2" width="14" customWidth="1"/>
    <col min="3" max="3" width="24" customWidth="1"/>
  </cols>
  <sheetData>
    <row r="1" spans="1:3" ht="27" customHeight="1">
      <c r="A1" s="9" t="s">
        <v>0</v>
      </c>
      <c r="B1" s="9" t="s">
        <v>1</v>
      </c>
      <c r="C1" s="9" t="s">
        <v>28</v>
      </c>
    </row>
    <row r="2" spans="1:3">
      <c r="A2" t="s">
        <v>10</v>
      </c>
      <c r="B2" t="s">
        <v>11</v>
      </c>
      <c r="C2" s="10">
        <v>94.300445225000004</v>
      </c>
    </row>
    <row r="3" spans="1:3">
      <c r="A3" t="s">
        <v>10</v>
      </c>
      <c r="B3" t="s">
        <v>12</v>
      </c>
      <c r="C3" s="10">
        <v>105.00678515066666</v>
      </c>
    </row>
    <row r="4" spans="1:3">
      <c r="A4" t="s">
        <v>10</v>
      </c>
      <c r="B4" t="s">
        <v>14</v>
      </c>
      <c r="C4" s="10">
        <v>139.64056684533335</v>
      </c>
    </row>
    <row r="5" spans="1:3">
      <c r="A5" t="s">
        <v>10</v>
      </c>
      <c r="B5" t="s">
        <v>16</v>
      </c>
      <c r="C5" s="10">
        <v>152.73809564833334</v>
      </c>
    </row>
    <row r="6" spans="1:3">
      <c r="A6" t="s">
        <v>10</v>
      </c>
      <c r="B6" t="s">
        <v>18</v>
      </c>
      <c r="C6" s="10">
        <v>149.68835347200002</v>
      </c>
    </row>
    <row r="7" spans="1:3">
      <c r="A7" t="s">
        <v>10</v>
      </c>
      <c r="B7" t="s">
        <v>20</v>
      </c>
      <c r="C7" s="10">
        <v>116.02489336933333</v>
      </c>
    </row>
    <row r="8" spans="1:3">
      <c r="A8" t="s">
        <v>10</v>
      </c>
      <c r="B8" t="s">
        <v>22</v>
      </c>
      <c r="C8" s="10">
        <v>112.245203903</v>
      </c>
    </row>
    <row r="9" spans="1:3">
      <c r="A9" t="s">
        <v>10</v>
      </c>
      <c r="B9" t="s">
        <v>23</v>
      </c>
      <c r="C9" s="10">
        <v>108.88109260833333</v>
      </c>
    </row>
    <row r="10" spans="1:3">
      <c r="A10" t="s">
        <v>10</v>
      </c>
      <c r="B10" t="s">
        <v>24</v>
      </c>
      <c r="C10" s="10">
        <v>95.283120236333346</v>
      </c>
    </row>
    <row r="11" spans="1:3">
      <c r="A11" t="s">
        <v>10</v>
      </c>
      <c r="B11" t="s">
        <v>25</v>
      </c>
      <c r="C11" s="10">
        <v>95.834660944666666</v>
      </c>
    </row>
    <row r="12" spans="1:3">
      <c r="A12" t="s">
        <v>10</v>
      </c>
      <c r="B12" t="s">
        <v>26</v>
      </c>
      <c r="C12" s="10">
        <v>88.161471137999996</v>
      </c>
    </row>
    <row r="13" spans="1:3">
      <c r="A13" t="s">
        <v>10</v>
      </c>
      <c r="B13" t="s">
        <v>27</v>
      </c>
      <c r="C13" s="10">
        <v>86.886057939333341</v>
      </c>
    </row>
    <row r="14" spans="1:3">
      <c r="A14" t="s">
        <v>13</v>
      </c>
      <c r="B14" t="s">
        <v>11</v>
      </c>
      <c r="C14" s="10">
        <v>92.664027378333316</v>
      </c>
    </row>
    <row r="15" spans="1:3">
      <c r="A15" t="s">
        <v>13</v>
      </c>
      <c r="B15" t="s">
        <v>12</v>
      </c>
      <c r="C15" s="10">
        <v>104.34340981933333</v>
      </c>
    </row>
    <row r="16" spans="1:3">
      <c r="A16" t="s">
        <v>13</v>
      </c>
      <c r="B16" t="s">
        <v>14</v>
      </c>
      <c r="C16" s="10">
        <v>139.77255255933332</v>
      </c>
    </row>
    <row r="17" spans="1:3">
      <c r="A17" t="s">
        <v>13</v>
      </c>
      <c r="B17" t="s">
        <v>16</v>
      </c>
      <c r="C17" s="10">
        <v>153.70516611133334</v>
      </c>
    </row>
    <row r="18" spans="1:3">
      <c r="A18" t="s">
        <v>13</v>
      </c>
      <c r="B18" t="s">
        <v>18</v>
      </c>
      <c r="C18" s="10">
        <v>151.51825334233334</v>
      </c>
    </row>
    <row r="19" spans="1:3">
      <c r="A19" t="s">
        <v>13</v>
      </c>
      <c r="B19" t="s">
        <v>20</v>
      </c>
      <c r="C19" s="10">
        <v>114.80358103266667</v>
      </c>
    </row>
    <row r="20" spans="1:3">
      <c r="A20" t="s">
        <v>13</v>
      </c>
      <c r="B20" t="s">
        <v>22</v>
      </c>
      <c r="C20" s="10">
        <v>110.85529520799999</v>
      </c>
    </row>
    <row r="21" spans="1:3">
      <c r="A21" t="s">
        <v>13</v>
      </c>
      <c r="B21" t="s">
        <v>23</v>
      </c>
      <c r="C21" s="10">
        <v>106.46387913300001</v>
      </c>
    </row>
    <row r="22" spans="1:3">
      <c r="A22" t="s">
        <v>13</v>
      </c>
      <c r="B22" t="s">
        <v>24</v>
      </c>
      <c r="C22" s="10">
        <v>92.488262155000001</v>
      </c>
    </row>
    <row r="23" spans="1:3">
      <c r="A23" t="s">
        <v>13</v>
      </c>
      <c r="B23" t="s">
        <v>25</v>
      </c>
      <c r="C23" s="10">
        <v>92.674632068666668</v>
      </c>
    </row>
    <row r="24" spans="1:3">
      <c r="A24" t="s">
        <v>13</v>
      </c>
      <c r="B24" t="s">
        <v>26</v>
      </c>
      <c r="C24" s="10">
        <v>85.476027826000006</v>
      </c>
    </row>
    <row r="25" spans="1:3">
      <c r="A25" t="s">
        <v>13</v>
      </c>
      <c r="B25" t="s">
        <v>27</v>
      </c>
      <c r="C25" s="10">
        <v>84.60210008333334</v>
      </c>
    </row>
    <row r="26" spans="1:3">
      <c r="A26" t="s">
        <v>15</v>
      </c>
      <c r="B26" t="s">
        <v>11</v>
      </c>
      <c r="C26" s="10">
        <v>102.85694059866665</v>
      </c>
    </row>
    <row r="27" spans="1:3">
      <c r="A27" t="s">
        <v>15</v>
      </c>
      <c r="B27" t="s">
        <v>12</v>
      </c>
      <c r="C27" s="10">
        <v>115.28301474999999</v>
      </c>
    </row>
    <row r="28" spans="1:3">
      <c r="A28" t="s">
        <v>15</v>
      </c>
      <c r="B28" t="s">
        <v>14</v>
      </c>
      <c r="C28" s="10">
        <v>152.10668662133332</v>
      </c>
    </row>
    <row r="29" spans="1:3">
      <c r="A29" t="s">
        <v>15</v>
      </c>
      <c r="B29" t="s">
        <v>16</v>
      </c>
      <c r="C29" s="10">
        <v>163.91361877100002</v>
      </c>
    </row>
    <row r="30" spans="1:3">
      <c r="A30" t="s">
        <v>15</v>
      </c>
      <c r="B30" t="s">
        <v>18</v>
      </c>
      <c r="C30" s="10">
        <v>157.52429858100001</v>
      </c>
    </row>
    <row r="31" spans="1:3">
      <c r="A31" t="s">
        <v>15</v>
      </c>
      <c r="B31" t="s">
        <v>20</v>
      </c>
      <c r="C31" s="10">
        <v>116.17532173633334</v>
      </c>
    </row>
    <row r="32" spans="1:3">
      <c r="A32" t="s">
        <v>15</v>
      </c>
      <c r="B32" t="s">
        <v>22</v>
      </c>
      <c r="C32" s="10">
        <v>110.45696688566666</v>
      </c>
    </row>
    <row r="33" spans="1:3">
      <c r="A33" t="s">
        <v>15</v>
      </c>
      <c r="B33" t="s">
        <v>23</v>
      </c>
      <c r="C33" s="10">
        <v>105.91204752333333</v>
      </c>
    </row>
    <row r="34" spans="1:3">
      <c r="A34" t="s">
        <v>15</v>
      </c>
      <c r="B34" t="s">
        <v>24</v>
      </c>
      <c r="C34" s="10">
        <v>92.625249944333333</v>
      </c>
    </row>
    <row r="35" spans="1:3">
      <c r="A35" t="s">
        <v>15</v>
      </c>
      <c r="B35" t="s">
        <v>25</v>
      </c>
      <c r="C35" s="10">
        <v>94.876103823999998</v>
      </c>
    </row>
    <row r="36" spans="1:3">
      <c r="A36" t="s">
        <v>15</v>
      </c>
      <c r="B36" t="s">
        <v>26</v>
      </c>
      <c r="C36" s="10">
        <v>90.258986035333322</v>
      </c>
    </row>
    <row r="37" spans="1:3">
      <c r="A37" t="s">
        <v>15</v>
      </c>
      <c r="B37" t="s">
        <v>27</v>
      </c>
      <c r="C37" s="10">
        <v>92.493718708666663</v>
      </c>
    </row>
    <row r="38" spans="1:3">
      <c r="A38" t="s">
        <v>17</v>
      </c>
      <c r="B38" t="s">
        <v>11</v>
      </c>
      <c r="C38" s="10">
        <v>98.107923483666667</v>
      </c>
    </row>
    <row r="39" spans="1:3">
      <c r="A39" t="s">
        <v>17</v>
      </c>
      <c r="B39" t="s">
        <v>12</v>
      </c>
      <c r="C39" s="10">
        <v>109.57253018666667</v>
      </c>
    </row>
    <row r="40" spans="1:3">
      <c r="A40" t="s">
        <v>17</v>
      </c>
      <c r="B40" t="s">
        <v>14</v>
      </c>
      <c r="C40" s="10">
        <v>145.42890303900001</v>
      </c>
    </row>
    <row r="41" spans="1:3">
      <c r="A41" t="s">
        <v>17</v>
      </c>
      <c r="B41" t="s">
        <v>16</v>
      </c>
      <c r="C41" s="10">
        <v>159.29441754366664</v>
      </c>
    </row>
    <row r="42" spans="1:3">
      <c r="A42" t="s">
        <v>17</v>
      </c>
      <c r="B42" t="s">
        <v>18</v>
      </c>
      <c r="C42" s="10">
        <v>156.45537460399999</v>
      </c>
    </row>
    <row r="43" spans="1:3">
      <c r="A43" t="s">
        <v>17</v>
      </c>
      <c r="B43" t="s">
        <v>20</v>
      </c>
      <c r="C43" s="10">
        <v>117.92462980666666</v>
      </c>
    </row>
    <row r="44" spans="1:3">
      <c r="A44" t="s">
        <v>17</v>
      </c>
      <c r="B44" t="s">
        <v>22</v>
      </c>
      <c r="C44" s="10">
        <v>113.84694010433334</v>
      </c>
    </row>
    <row r="45" spans="1:3">
      <c r="A45" t="s">
        <v>17</v>
      </c>
      <c r="B45" t="s">
        <v>23</v>
      </c>
      <c r="C45" s="10">
        <v>108.245606654</v>
      </c>
    </row>
    <row r="46" spans="1:3">
      <c r="A46" t="s">
        <v>17</v>
      </c>
      <c r="B46" t="s">
        <v>24</v>
      </c>
      <c r="C46" s="10">
        <v>94.56829590933333</v>
      </c>
    </row>
    <row r="47" spans="1:3">
      <c r="A47" t="s">
        <v>17</v>
      </c>
      <c r="B47" t="s">
        <v>25</v>
      </c>
      <c r="C47" s="10">
        <v>94.699085420666663</v>
      </c>
    </row>
    <row r="48" spans="1:3">
      <c r="A48" t="s">
        <v>17</v>
      </c>
      <c r="B48" t="s">
        <v>26</v>
      </c>
      <c r="C48" s="10">
        <v>89.100533166333335</v>
      </c>
    </row>
    <row r="49" spans="1:3">
      <c r="A49" t="s">
        <v>17</v>
      </c>
      <c r="B49" t="s">
        <v>27</v>
      </c>
      <c r="C49" s="10">
        <v>89.483672800666668</v>
      </c>
    </row>
    <row r="50" spans="1:3">
      <c r="A50" t="s">
        <v>19</v>
      </c>
      <c r="B50" t="s">
        <v>11</v>
      </c>
      <c r="C50" s="10">
        <v>91.373976669333331</v>
      </c>
    </row>
    <row r="51" spans="1:3">
      <c r="A51" t="s">
        <v>19</v>
      </c>
      <c r="B51" t="s">
        <v>12</v>
      </c>
      <c r="C51" s="10">
        <v>101.53003199266666</v>
      </c>
    </row>
    <row r="52" spans="1:3">
      <c r="A52" t="s">
        <v>19</v>
      </c>
      <c r="B52" t="s">
        <v>14</v>
      </c>
      <c r="C52" s="10">
        <v>135.55983065733332</v>
      </c>
    </row>
    <row r="53" spans="1:3">
      <c r="A53" t="s">
        <v>19</v>
      </c>
      <c r="B53" t="s">
        <v>16</v>
      </c>
      <c r="C53" s="10">
        <v>149.60852691233333</v>
      </c>
    </row>
    <row r="54" spans="1:3">
      <c r="A54" t="s">
        <v>19</v>
      </c>
      <c r="B54" t="s">
        <v>18</v>
      </c>
      <c r="C54" s="10">
        <v>144.91476734500003</v>
      </c>
    </row>
    <row r="55" spans="1:3">
      <c r="A55" t="s">
        <v>19</v>
      </c>
      <c r="B55" t="s">
        <v>20</v>
      </c>
      <c r="C55" s="10">
        <v>110.34298735566668</v>
      </c>
    </row>
    <row r="56" spans="1:3">
      <c r="A56" t="s">
        <v>19</v>
      </c>
      <c r="B56" t="s">
        <v>22</v>
      </c>
      <c r="C56" s="10">
        <v>107.31031987199999</v>
      </c>
    </row>
    <row r="57" spans="1:3">
      <c r="A57" t="s">
        <v>19</v>
      </c>
      <c r="B57" t="s">
        <v>23</v>
      </c>
      <c r="C57" s="10">
        <v>103.70561755066666</v>
      </c>
    </row>
    <row r="58" spans="1:3">
      <c r="A58" t="s">
        <v>19</v>
      </c>
      <c r="B58" t="s">
        <v>24</v>
      </c>
      <c r="C58" s="10">
        <v>92.140197766666674</v>
      </c>
    </row>
    <row r="59" spans="1:3">
      <c r="A59" t="s">
        <v>19</v>
      </c>
      <c r="B59" t="s">
        <v>25</v>
      </c>
      <c r="C59" s="10">
        <v>93.48079919366667</v>
      </c>
    </row>
    <row r="60" spans="1:3">
      <c r="A60" t="s">
        <v>19</v>
      </c>
      <c r="B60" t="s">
        <v>26</v>
      </c>
      <c r="C60" s="10">
        <v>86.891880368666662</v>
      </c>
    </row>
    <row r="61" spans="1:3">
      <c r="A61" t="s">
        <v>19</v>
      </c>
      <c r="B61" t="s">
        <v>27</v>
      </c>
      <c r="C61" s="10">
        <v>85.17147955533332</v>
      </c>
    </row>
    <row r="62" spans="1:3">
      <c r="A62" t="s">
        <v>21</v>
      </c>
      <c r="B62" t="s">
        <v>11</v>
      </c>
      <c r="C62" s="10">
        <v>101.11175724833333</v>
      </c>
    </row>
    <row r="63" spans="1:3">
      <c r="A63" t="s">
        <v>21</v>
      </c>
      <c r="B63" t="s">
        <v>12</v>
      </c>
      <c r="C63" s="10">
        <v>113.75478749933333</v>
      </c>
    </row>
    <row r="64" spans="1:3">
      <c r="A64" t="s">
        <v>21</v>
      </c>
      <c r="B64" t="s">
        <v>14</v>
      </c>
      <c r="C64" s="10">
        <v>150.88256871966666</v>
      </c>
    </row>
    <row r="65" spans="1:3">
      <c r="A65" t="s">
        <v>21</v>
      </c>
      <c r="B65" t="s">
        <v>16</v>
      </c>
      <c r="C65" s="10">
        <v>164.49556662033334</v>
      </c>
    </row>
    <row r="66" spans="1:3">
      <c r="A66" t="s">
        <v>21</v>
      </c>
      <c r="B66" t="s">
        <v>18</v>
      </c>
      <c r="C66" s="10">
        <v>158.25271906799998</v>
      </c>
    </row>
    <row r="67" spans="1:3">
      <c r="A67" t="s">
        <v>21</v>
      </c>
      <c r="B67" t="s">
        <v>20</v>
      </c>
      <c r="C67" s="10">
        <v>120.56354570533334</v>
      </c>
    </row>
    <row r="68" spans="1:3">
      <c r="A68" t="s">
        <v>21</v>
      </c>
      <c r="B68" t="s">
        <v>22</v>
      </c>
      <c r="C68" s="10">
        <v>116.08190289166666</v>
      </c>
    </row>
    <row r="69" spans="1:3">
      <c r="A69" t="s">
        <v>21</v>
      </c>
      <c r="B69" t="s">
        <v>23</v>
      </c>
      <c r="C69" s="10">
        <v>110.26897246166666</v>
      </c>
    </row>
    <row r="70" spans="1:3">
      <c r="A70" t="s">
        <v>21</v>
      </c>
      <c r="B70" t="s">
        <v>24</v>
      </c>
      <c r="C70" s="10">
        <v>97.129795221333339</v>
      </c>
    </row>
    <row r="71" spans="1:3">
      <c r="A71" t="s">
        <v>21</v>
      </c>
      <c r="B71" t="s">
        <v>25</v>
      </c>
      <c r="C71" s="10">
        <v>97.105067042000002</v>
      </c>
    </row>
    <row r="72" spans="1:3">
      <c r="A72" t="s">
        <v>21</v>
      </c>
      <c r="B72" t="s">
        <v>26</v>
      </c>
      <c r="C72" s="10">
        <v>90.618895229333333</v>
      </c>
    </row>
    <row r="73" spans="1:3">
      <c r="A73" t="s">
        <v>21</v>
      </c>
      <c r="B73" t="s">
        <v>27</v>
      </c>
      <c r="C73" s="10">
        <v>91.398797964000011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3"/>
  <sheetViews>
    <sheetView workbookViewId="0">
      <pane ySplit="1" topLeftCell="A2" activePane="bottomLeft" state="frozen"/>
      <selection pane="bottomLeft"/>
    </sheetView>
  </sheetViews>
  <sheetFormatPr baseColWidth="10" defaultColWidth="9" defaultRowHeight="13.5"/>
  <cols>
    <col min="1" max="1" width="22" customWidth="1"/>
    <col min="2" max="2" width="14" customWidth="1"/>
    <col min="3" max="3" width="24" customWidth="1"/>
  </cols>
  <sheetData>
    <row r="1" spans="1:3" ht="27" customHeight="1">
      <c r="A1" s="9" t="s">
        <v>0</v>
      </c>
      <c r="B1" s="9" t="s">
        <v>1</v>
      </c>
      <c r="C1" s="9" t="s">
        <v>29</v>
      </c>
    </row>
    <row r="2" spans="1:3">
      <c r="A2" t="s">
        <v>10</v>
      </c>
      <c r="B2" t="s">
        <v>11</v>
      </c>
      <c r="C2" s="10">
        <v>0.68911832705930887</v>
      </c>
    </row>
    <row r="3" spans="1:3">
      <c r="A3" t="s">
        <v>10</v>
      </c>
      <c r="B3" t="s">
        <v>12</v>
      </c>
      <c r="C3" s="10">
        <v>0.6</v>
      </c>
    </row>
    <row r="4" spans="1:3">
      <c r="A4" t="s">
        <v>10</v>
      </c>
      <c r="B4" t="s">
        <v>14</v>
      </c>
      <c r="C4" s="10">
        <v>0.59999999999999987</v>
      </c>
    </row>
    <row r="5" spans="1:3">
      <c r="A5" t="s">
        <v>10</v>
      </c>
      <c r="B5" t="s">
        <v>16</v>
      </c>
      <c r="C5" s="10">
        <v>0.69262783774809389</v>
      </c>
    </row>
    <row r="6" spans="1:3">
      <c r="A6" t="s">
        <v>10</v>
      </c>
      <c r="B6" t="s">
        <v>18</v>
      </c>
      <c r="C6" s="10">
        <v>0.84999999999999987</v>
      </c>
    </row>
    <row r="7" spans="1:3">
      <c r="A7" t="s">
        <v>10</v>
      </c>
      <c r="B7" t="s">
        <v>20</v>
      </c>
      <c r="C7" s="10">
        <v>0.85</v>
      </c>
    </row>
    <row r="8" spans="1:3">
      <c r="A8" t="s">
        <v>10</v>
      </c>
      <c r="B8" t="s">
        <v>22</v>
      </c>
      <c r="C8" s="10">
        <v>0.84999999999999987</v>
      </c>
    </row>
    <row r="9" spans="1:3">
      <c r="A9" t="s">
        <v>10</v>
      </c>
      <c r="B9" t="s">
        <v>23</v>
      </c>
      <c r="C9" s="10">
        <v>0.85</v>
      </c>
    </row>
    <row r="10" spans="1:3">
      <c r="A10" t="s">
        <v>10</v>
      </c>
      <c r="B10" t="s">
        <v>24</v>
      </c>
      <c r="C10" s="10">
        <v>0.84999999999999987</v>
      </c>
    </row>
    <row r="11" spans="1:3">
      <c r="A11" t="s">
        <v>10</v>
      </c>
      <c r="B11" t="s">
        <v>25</v>
      </c>
      <c r="C11" s="10">
        <v>0.84999999999999987</v>
      </c>
    </row>
    <row r="12" spans="1:3">
      <c r="A12" t="s">
        <v>10</v>
      </c>
      <c r="B12" t="s">
        <v>26</v>
      </c>
      <c r="C12" s="10">
        <v>0.81720876446573643</v>
      </c>
    </row>
    <row r="13" spans="1:3">
      <c r="A13" t="s">
        <v>10</v>
      </c>
      <c r="B13" t="s">
        <v>27</v>
      </c>
      <c r="C13" s="10">
        <v>0.75</v>
      </c>
    </row>
    <row r="14" spans="1:3">
      <c r="A14" t="s">
        <v>13</v>
      </c>
      <c r="B14" t="s">
        <v>11</v>
      </c>
      <c r="C14" s="10">
        <v>0.68875576422413354</v>
      </c>
    </row>
    <row r="15" spans="1:3">
      <c r="A15" t="s">
        <v>13</v>
      </c>
      <c r="B15" t="s">
        <v>12</v>
      </c>
      <c r="C15" s="10">
        <v>0.60000000000000009</v>
      </c>
    </row>
    <row r="16" spans="1:3">
      <c r="A16" t="s">
        <v>13</v>
      </c>
      <c r="B16" t="s">
        <v>14</v>
      </c>
      <c r="C16" s="10">
        <v>0.60000000000000009</v>
      </c>
    </row>
    <row r="17" spans="1:3">
      <c r="A17" t="s">
        <v>13</v>
      </c>
      <c r="B17" t="s">
        <v>16</v>
      </c>
      <c r="C17" s="10">
        <v>0.69297103180144615</v>
      </c>
    </row>
    <row r="18" spans="1:3">
      <c r="A18" t="s">
        <v>13</v>
      </c>
      <c r="B18" t="s">
        <v>18</v>
      </c>
      <c r="C18" s="10">
        <v>0.84999999999999987</v>
      </c>
    </row>
    <row r="19" spans="1:3">
      <c r="A19" t="s">
        <v>13</v>
      </c>
      <c r="B19" t="s">
        <v>20</v>
      </c>
      <c r="C19" s="10">
        <v>0.84999999999999987</v>
      </c>
    </row>
    <row r="20" spans="1:3">
      <c r="A20" t="s">
        <v>13</v>
      </c>
      <c r="B20" t="s">
        <v>22</v>
      </c>
      <c r="C20" s="10">
        <v>0.85</v>
      </c>
    </row>
    <row r="21" spans="1:3">
      <c r="A21" t="s">
        <v>13</v>
      </c>
      <c r="B21" t="s">
        <v>23</v>
      </c>
      <c r="C21" s="10">
        <v>0.85</v>
      </c>
    </row>
    <row r="22" spans="1:3">
      <c r="A22" t="s">
        <v>13</v>
      </c>
      <c r="B22" t="s">
        <v>24</v>
      </c>
      <c r="C22" s="10">
        <v>0.85</v>
      </c>
    </row>
    <row r="23" spans="1:3">
      <c r="A23" t="s">
        <v>13</v>
      </c>
      <c r="B23" t="s">
        <v>25</v>
      </c>
      <c r="C23" s="10">
        <v>0.84999999999999987</v>
      </c>
    </row>
    <row r="24" spans="1:3">
      <c r="A24" t="s">
        <v>13</v>
      </c>
      <c r="B24" t="s">
        <v>26</v>
      </c>
      <c r="C24" s="10">
        <v>0.81719613518297918</v>
      </c>
    </row>
    <row r="25" spans="1:3">
      <c r="A25" t="s">
        <v>13</v>
      </c>
      <c r="B25" t="s">
        <v>27</v>
      </c>
      <c r="C25" s="10">
        <v>0.74999999999999989</v>
      </c>
    </row>
    <row r="26" spans="1:3">
      <c r="A26" t="s">
        <v>15</v>
      </c>
      <c r="B26" t="s">
        <v>11</v>
      </c>
      <c r="C26" s="10">
        <v>0.68872821074330415</v>
      </c>
    </row>
    <row r="27" spans="1:3">
      <c r="A27" t="s">
        <v>15</v>
      </c>
      <c r="B27" t="s">
        <v>12</v>
      </c>
      <c r="C27" s="10">
        <v>0.6</v>
      </c>
    </row>
    <row r="28" spans="1:3">
      <c r="A28" t="s">
        <v>15</v>
      </c>
      <c r="B28" t="s">
        <v>14</v>
      </c>
      <c r="C28" s="10">
        <v>0.60000000000000009</v>
      </c>
    </row>
    <row r="29" spans="1:3">
      <c r="A29" t="s">
        <v>15</v>
      </c>
      <c r="B29" t="s">
        <v>16</v>
      </c>
      <c r="C29" s="10">
        <v>0.69230452447571023</v>
      </c>
    </row>
    <row r="30" spans="1:3">
      <c r="A30" t="s">
        <v>15</v>
      </c>
      <c r="B30" t="s">
        <v>18</v>
      </c>
      <c r="C30" s="10">
        <v>0.85000000000000009</v>
      </c>
    </row>
    <row r="31" spans="1:3">
      <c r="A31" t="s">
        <v>15</v>
      </c>
      <c r="B31" t="s">
        <v>20</v>
      </c>
      <c r="C31" s="10">
        <v>0.84999999999999987</v>
      </c>
    </row>
    <row r="32" spans="1:3">
      <c r="A32" t="s">
        <v>15</v>
      </c>
      <c r="B32" t="s">
        <v>22</v>
      </c>
      <c r="C32" s="10">
        <v>0.85</v>
      </c>
    </row>
    <row r="33" spans="1:3">
      <c r="A33" t="s">
        <v>15</v>
      </c>
      <c r="B33" t="s">
        <v>23</v>
      </c>
      <c r="C33" s="10">
        <v>0.85000000000000009</v>
      </c>
    </row>
    <row r="34" spans="1:3">
      <c r="A34" t="s">
        <v>15</v>
      </c>
      <c r="B34" t="s">
        <v>24</v>
      </c>
      <c r="C34" s="10">
        <v>0.85000000000000009</v>
      </c>
    </row>
    <row r="35" spans="1:3">
      <c r="A35" t="s">
        <v>15</v>
      </c>
      <c r="B35" t="s">
        <v>25</v>
      </c>
      <c r="C35" s="10">
        <v>0.85</v>
      </c>
    </row>
    <row r="36" spans="1:3">
      <c r="A36" t="s">
        <v>15</v>
      </c>
      <c r="B36" t="s">
        <v>26</v>
      </c>
      <c r="C36" s="10">
        <v>0.81674684376181239</v>
      </c>
    </row>
    <row r="37" spans="1:3">
      <c r="A37" t="s">
        <v>15</v>
      </c>
      <c r="B37" t="s">
        <v>27</v>
      </c>
      <c r="C37" s="10">
        <v>0.75000000000000011</v>
      </c>
    </row>
    <row r="38" spans="1:3">
      <c r="A38" t="s">
        <v>17</v>
      </c>
      <c r="B38" t="s">
        <v>11</v>
      </c>
      <c r="C38" s="10">
        <v>0.6889155344863892</v>
      </c>
    </row>
    <row r="39" spans="1:3">
      <c r="A39" t="s">
        <v>17</v>
      </c>
      <c r="B39" t="s">
        <v>12</v>
      </c>
      <c r="C39" s="10">
        <v>0.6</v>
      </c>
    </row>
    <row r="40" spans="1:3">
      <c r="A40" t="s">
        <v>17</v>
      </c>
      <c r="B40" t="s">
        <v>14</v>
      </c>
      <c r="C40" s="10">
        <v>0.60000000000000009</v>
      </c>
    </row>
    <row r="41" spans="1:3">
      <c r="A41" t="s">
        <v>17</v>
      </c>
      <c r="B41" t="s">
        <v>16</v>
      </c>
      <c r="C41" s="10">
        <v>0.69274808583629954</v>
      </c>
    </row>
    <row r="42" spans="1:3">
      <c r="A42" t="s">
        <v>17</v>
      </c>
      <c r="B42" t="s">
        <v>18</v>
      </c>
      <c r="C42" s="10">
        <v>0.85</v>
      </c>
    </row>
    <row r="43" spans="1:3">
      <c r="A43" t="s">
        <v>17</v>
      </c>
      <c r="B43" t="s">
        <v>20</v>
      </c>
      <c r="C43" s="10">
        <v>0.85000000000000009</v>
      </c>
    </row>
    <row r="44" spans="1:3">
      <c r="A44" t="s">
        <v>17</v>
      </c>
      <c r="B44" t="s">
        <v>22</v>
      </c>
      <c r="C44" s="10">
        <v>0.84999999999999987</v>
      </c>
    </row>
    <row r="45" spans="1:3">
      <c r="A45" t="s">
        <v>17</v>
      </c>
      <c r="B45" t="s">
        <v>23</v>
      </c>
      <c r="C45" s="10">
        <v>0.85000000000000009</v>
      </c>
    </row>
    <row r="46" spans="1:3">
      <c r="A46" t="s">
        <v>17</v>
      </c>
      <c r="B46" t="s">
        <v>24</v>
      </c>
      <c r="C46" s="10">
        <v>0.85</v>
      </c>
    </row>
    <row r="47" spans="1:3">
      <c r="A47" t="s">
        <v>17</v>
      </c>
      <c r="B47" t="s">
        <v>25</v>
      </c>
      <c r="C47" s="10">
        <v>0.84999999999999987</v>
      </c>
    </row>
    <row r="48" spans="1:3">
      <c r="A48" t="s">
        <v>17</v>
      </c>
      <c r="B48" t="s">
        <v>26</v>
      </c>
      <c r="C48" s="10">
        <v>0.81697267399653895</v>
      </c>
    </row>
    <row r="49" spans="1:3">
      <c r="A49" t="s">
        <v>17</v>
      </c>
      <c r="B49" t="s">
        <v>27</v>
      </c>
      <c r="C49" s="10">
        <v>0.75</v>
      </c>
    </row>
    <row r="50" spans="1:3">
      <c r="A50" t="s">
        <v>19</v>
      </c>
      <c r="B50" t="s">
        <v>11</v>
      </c>
      <c r="C50" s="10">
        <v>0.68916056974003048</v>
      </c>
    </row>
    <row r="51" spans="1:3">
      <c r="A51" t="s">
        <v>19</v>
      </c>
      <c r="B51" t="s">
        <v>12</v>
      </c>
      <c r="C51" s="10">
        <v>0.6</v>
      </c>
    </row>
    <row r="52" spans="1:3">
      <c r="A52" t="s">
        <v>19</v>
      </c>
      <c r="B52" t="s">
        <v>14</v>
      </c>
      <c r="C52" s="10">
        <v>0.6</v>
      </c>
    </row>
    <row r="53" spans="1:3">
      <c r="A53" t="s">
        <v>19</v>
      </c>
      <c r="B53" t="s">
        <v>16</v>
      </c>
      <c r="C53" s="10">
        <v>0.69253204664282697</v>
      </c>
    </row>
    <row r="54" spans="1:3">
      <c r="A54" t="s">
        <v>19</v>
      </c>
      <c r="B54" t="s">
        <v>18</v>
      </c>
      <c r="C54" s="10">
        <v>0.84999999999999976</v>
      </c>
    </row>
    <row r="55" spans="1:3">
      <c r="A55" t="s">
        <v>19</v>
      </c>
      <c r="B55" t="s">
        <v>20</v>
      </c>
      <c r="C55" s="10">
        <v>0.84999999999999987</v>
      </c>
    </row>
    <row r="56" spans="1:3">
      <c r="A56" t="s">
        <v>19</v>
      </c>
      <c r="B56" t="s">
        <v>22</v>
      </c>
      <c r="C56" s="10">
        <v>0.85</v>
      </c>
    </row>
    <row r="57" spans="1:3">
      <c r="A57" t="s">
        <v>19</v>
      </c>
      <c r="B57" t="s">
        <v>23</v>
      </c>
      <c r="C57" s="10">
        <v>0.85000000000000009</v>
      </c>
    </row>
    <row r="58" spans="1:3">
      <c r="A58" t="s">
        <v>19</v>
      </c>
      <c r="B58" t="s">
        <v>24</v>
      </c>
      <c r="C58" s="10">
        <v>0.85000000000000009</v>
      </c>
    </row>
    <row r="59" spans="1:3">
      <c r="A59" t="s">
        <v>19</v>
      </c>
      <c r="B59" t="s">
        <v>25</v>
      </c>
      <c r="C59" s="10">
        <v>0.84999999999999987</v>
      </c>
    </row>
    <row r="60" spans="1:3">
      <c r="A60" t="s">
        <v>19</v>
      </c>
      <c r="B60" t="s">
        <v>26</v>
      </c>
      <c r="C60" s="10">
        <v>0.81707705780030981</v>
      </c>
    </row>
    <row r="61" spans="1:3">
      <c r="A61" t="s">
        <v>19</v>
      </c>
      <c r="B61" t="s">
        <v>27</v>
      </c>
      <c r="C61" s="10">
        <v>0.75000000000000011</v>
      </c>
    </row>
    <row r="62" spans="1:3">
      <c r="A62" t="s">
        <v>21</v>
      </c>
      <c r="B62" t="s">
        <v>11</v>
      </c>
      <c r="C62" s="10">
        <v>0.68867483017161979</v>
      </c>
    </row>
    <row r="63" spans="1:3">
      <c r="A63" t="s">
        <v>21</v>
      </c>
      <c r="B63" t="s">
        <v>12</v>
      </c>
      <c r="C63" s="10">
        <v>0.59999999999999987</v>
      </c>
    </row>
    <row r="64" spans="1:3">
      <c r="A64" t="s">
        <v>21</v>
      </c>
      <c r="B64" t="s">
        <v>14</v>
      </c>
      <c r="C64" s="10">
        <v>0.60000000000000009</v>
      </c>
    </row>
    <row r="65" spans="1:3">
      <c r="A65" t="s">
        <v>21</v>
      </c>
      <c r="B65" t="s">
        <v>16</v>
      </c>
      <c r="C65" s="10">
        <v>0.69223684364760152</v>
      </c>
    </row>
    <row r="66" spans="1:3">
      <c r="A66" t="s">
        <v>21</v>
      </c>
      <c r="B66" t="s">
        <v>18</v>
      </c>
      <c r="C66" s="10">
        <v>0.85000000000000009</v>
      </c>
    </row>
    <row r="67" spans="1:3">
      <c r="A67" t="s">
        <v>21</v>
      </c>
      <c r="B67" t="s">
        <v>20</v>
      </c>
      <c r="C67" s="10">
        <v>0.85</v>
      </c>
    </row>
    <row r="68" spans="1:3">
      <c r="A68" t="s">
        <v>21</v>
      </c>
      <c r="B68" t="s">
        <v>22</v>
      </c>
      <c r="C68" s="10">
        <v>0.85000000000000009</v>
      </c>
    </row>
    <row r="69" spans="1:3">
      <c r="A69" t="s">
        <v>21</v>
      </c>
      <c r="B69" t="s">
        <v>23</v>
      </c>
      <c r="C69" s="10">
        <v>0.85000000000000009</v>
      </c>
    </row>
    <row r="70" spans="1:3">
      <c r="A70" t="s">
        <v>21</v>
      </c>
      <c r="B70" t="s">
        <v>24</v>
      </c>
      <c r="C70" s="10">
        <v>0.85</v>
      </c>
    </row>
    <row r="71" spans="1:3">
      <c r="A71" t="s">
        <v>21</v>
      </c>
      <c r="B71" t="s">
        <v>25</v>
      </c>
      <c r="C71" s="10">
        <v>0.85</v>
      </c>
    </row>
    <row r="72" spans="1:3">
      <c r="A72" t="s">
        <v>21</v>
      </c>
      <c r="B72" t="s">
        <v>26</v>
      </c>
      <c r="C72" s="10">
        <v>0.81697695298028039</v>
      </c>
    </row>
    <row r="73" spans="1:3">
      <c r="A73" t="s">
        <v>21</v>
      </c>
      <c r="B73" t="s">
        <v>27</v>
      </c>
      <c r="C73" s="10">
        <v>0.74999999999999989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3"/>
  <sheetViews>
    <sheetView workbookViewId="0">
      <pane ySplit="1" topLeftCell="A2" activePane="bottomLeft" state="frozen"/>
      <selection pane="bottomLeft"/>
    </sheetView>
  </sheetViews>
  <sheetFormatPr baseColWidth="10" defaultColWidth="9" defaultRowHeight="13.5"/>
  <cols>
    <col min="1" max="1" width="22" customWidth="1"/>
    <col min="2" max="2" width="14" customWidth="1"/>
    <col min="3" max="3" width="24" customWidth="1"/>
  </cols>
  <sheetData>
    <row r="1" spans="1:3" ht="27" customHeight="1">
      <c r="A1" s="9" t="s">
        <v>0</v>
      </c>
      <c r="B1" s="9" t="s">
        <v>1</v>
      </c>
      <c r="C1" s="9" t="s">
        <v>30</v>
      </c>
    </row>
    <row r="2" spans="1:3">
      <c r="A2" t="s">
        <v>10</v>
      </c>
      <c r="B2" t="s">
        <v>11</v>
      </c>
      <c r="C2" s="10">
        <v>64.984165054399995</v>
      </c>
    </row>
    <row r="3" spans="1:3">
      <c r="A3" t="s">
        <v>10</v>
      </c>
      <c r="B3" t="s">
        <v>12</v>
      </c>
      <c r="C3" s="10">
        <v>63.004071090399997</v>
      </c>
    </row>
    <row r="4" spans="1:3">
      <c r="A4" t="s">
        <v>10</v>
      </c>
      <c r="B4" t="s">
        <v>14</v>
      </c>
      <c r="C4" s="10">
        <v>83.784340107199995</v>
      </c>
    </row>
    <row r="5" spans="1:3">
      <c r="A5" t="s">
        <v>10</v>
      </c>
      <c r="B5" t="s">
        <v>16</v>
      </c>
      <c r="C5" s="10">
        <v>105.79065693066667</v>
      </c>
    </row>
    <row r="6" spans="1:3">
      <c r="A6" t="s">
        <v>10</v>
      </c>
      <c r="B6" t="s">
        <v>18</v>
      </c>
      <c r="C6" s="10">
        <v>127.2351004512</v>
      </c>
    </row>
    <row r="7" spans="1:3">
      <c r="A7" t="s">
        <v>10</v>
      </c>
      <c r="B7" t="s">
        <v>20</v>
      </c>
      <c r="C7" s="10">
        <v>98.62115936393333</v>
      </c>
    </row>
    <row r="8" spans="1:3">
      <c r="A8" t="s">
        <v>10</v>
      </c>
      <c r="B8" t="s">
        <v>22</v>
      </c>
      <c r="C8" s="10">
        <v>95.408423317549989</v>
      </c>
    </row>
    <row r="9" spans="1:3">
      <c r="A9" t="s">
        <v>10</v>
      </c>
      <c r="B9" t="s">
        <v>23</v>
      </c>
      <c r="C9" s="10">
        <v>92.548928717083328</v>
      </c>
    </row>
    <row r="10" spans="1:3">
      <c r="A10" t="s">
        <v>10</v>
      </c>
      <c r="B10" t="s">
        <v>24</v>
      </c>
      <c r="C10" s="10">
        <v>80.990652200883332</v>
      </c>
    </row>
    <row r="11" spans="1:3">
      <c r="A11" t="s">
        <v>10</v>
      </c>
      <c r="B11" t="s">
        <v>25</v>
      </c>
      <c r="C11" s="10">
        <v>81.459461802966658</v>
      </c>
    </row>
    <row r="12" spans="1:3">
      <c r="A12" t="s">
        <v>10</v>
      </c>
      <c r="B12" t="s">
        <v>26</v>
      </c>
      <c r="C12" s="10">
        <v>72.046326902166655</v>
      </c>
    </row>
    <row r="13" spans="1:3">
      <c r="A13" t="s">
        <v>10</v>
      </c>
      <c r="B13" t="s">
        <v>27</v>
      </c>
      <c r="C13" s="10">
        <v>65.164543454500006</v>
      </c>
    </row>
    <row r="14" spans="1:3">
      <c r="A14" t="s">
        <v>13</v>
      </c>
      <c r="B14" t="s">
        <v>11</v>
      </c>
      <c r="C14" s="10">
        <v>63.822882993050001</v>
      </c>
    </row>
    <row r="15" spans="1:3">
      <c r="A15" t="s">
        <v>13</v>
      </c>
      <c r="B15" t="s">
        <v>12</v>
      </c>
      <c r="C15" s="10">
        <v>62.606045891600004</v>
      </c>
    </row>
    <row r="16" spans="1:3">
      <c r="A16" t="s">
        <v>13</v>
      </c>
      <c r="B16" t="s">
        <v>14</v>
      </c>
      <c r="C16" s="10">
        <v>83.863531535600004</v>
      </c>
    </row>
    <row r="17" spans="1:3">
      <c r="A17" t="s">
        <v>13</v>
      </c>
      <c r="B17" t="s">
        <v>16</v>
      </c>
      <c r="C17" s="10">
        <v>106.51322755338333</v>
      </c>
    </row>
    <row r="18" spans="1:3">
      <c r="A18" t="s">
        <v>13</v>
      </c>
      <c r="B18" t="s">
        <v>18</v>
      </c>
      <c r="C18" s="10">
        <v>128.79051534098332</v>
      </c>
    </row>
    <row r="19" spans="1:3">
      <c r="A19" t="s">
        <v>13</v>
      </c>
      <c r="B19" t="s">
        <v>20</v>
      </c>
      <c r="C19" s="10">
        <v>97.583043877766656</v>
      </c>
    </row>
    <row r="20" spans="1:3">
      <c r="A20" t="s">
        <v>13</v>
      </c>
      <c r="B20" t="s">
        <v>22</v>
      </c>
      <c r="C20" s="10">
        <v>94.227000926799988</v>
      </c>
    </row>
    <row r="21" spans="1:3">
      <c r="A21" t="s">
        <v>13</v>
      </c>
      <c r="B21" t="s">
        <v>23</v>
      </c>
      <c r="C21" s="10">
        <v>90.494297263050001</v>
      </c>
    </row>
    <row r="22" spans="1:3">
      <c r="A22" t="s">
        <v>13</v>
      </c>
      <c r="B22" t="s">
        <v>24</v>
      </c>
      <c r="C22" s="10">
        <v>78.615022831749997</v>
      </c>
    </row>
    <row r="23" spans="1:3">
      <c r="A23" t="s">
        <v>13</v>
      </c>
      <c r="B23" t="s">
        <v>25</v>
      </c>
      <c r="C23" s="10">
        <v>78.773437258366656</v>
      </c>
    </row>
    <row r="24" spans="1:3">
      <c r="A24" t="s">
        <v>13</v>
      </c>
      <c r="B24" t="s">
        <v>26</v>
      </c>
      <c r="C24" s="10">
        <v>69.850679590199988</v>
      </c>
    </row>
    <row r="25" spans="1:3">
      <c r="A25" t="s">
        <v>13</v>
      </c>
      <c r="B25" t="s">
        <v>27</v>
      </c>
      <c r="C25" s="10">
        <v>63.451575062499998</v>
      </c>
    </row>
    <row r="26" spans="1:3">
      <c r="A26" t="s">
        <v>15</v>
      </c>
      <c r="B26" t="s">
        <v>11</v>
      </c>
      <c r="C26" s="10">
        <v>70.840476661050005</v>
      </c>
    </row>
    <row r="27" spans="1:3">
      <c r="A27" t="s">
        <v>15</v>
      </c>
      <c r="B27" t="s">
        <v>12</v>
      </c>
      <c r="C27" s="10">
        <v>69.169808849999995</v>
      </c>
    </row>
    <row r="28" spans="1:3">
      <c r="A28" t="s">
        <v>15</v>
      </c>
      <c r="B28" t="s">
        <v>14</v>
      </c>
      <c r="C28" s="10">
        <v>91.264011972800006</v>
      </c>
    </row>
    <row r="29" spans="1:3">
      <c r="A29" t="s">
        <v>15</v>
      </c>
      <c r="B29" t="s">
        <v>16</v>
      </c>
      <c r="C29" s="10">
        <v>113.47813989835001</v>
      </c>
    </row>
    <row r="30" spans="1:3">
      <c r="A30" t="s">
        <v>15</v>
      </c>
      <c r="B30" t="s">
        <v>18</v>
      </c>
      <c r="C30" s="10">
        <v>133.89565379385002</v>
      </c>
    </row>
    <row r="31" spans="1:3">
      <c r="A31" t="s">
        <v>15</v>
      </c>
      <c r="B31" t="s">
        <v>20</v>
      </c>
      <c r="C31" s="10">
        <v>98.749023475883334</v>
      </c>
    </row>
    <row r="32" spans="1:3">
      <c r="A32" t="s">
        <v>15</v>
      </c>
      <c r="B32" t="s">
        <v>22</v>
      </c>
      <c r="C32" s="10">
        <v>93.888421852816663</v>
      </c>
    </row>
    <row r="33" spans="1:3">
      <c r="A33" t="s">
        <v>15</v>
      </c>
      <c r="B33" t="s">
        <v>23</v>
      </c>
      <c r="C33" s="10">
        <v>90.025240394833332</v>
      </c>
    </row>
    <row r="34" spans="1:3">
      <c r="A34" t="s">
        <v>15</v>
      </c>
      <c r="B34" t="s">
        <v>24</v>
      </c>
      <c r="C34" s="10">
        <v>78.731462452683346</v>
      </c>
    </row>
    <row r="35" spans="1:3">
      <c r="A35" t="s">
        <v>15</v>
      </c>
      <c r="B35" t="s">
        <v>25</v>
      </c>
      <c r="C35" s="10">
        <v>80.644688250399994</v>
      </c>
    </row>
    <row r="36" spans="1:3">
      <c r="A36" t="s">
        <v>15</v>
      </c>
      <c r="B36" t="s">
        <v>26</v>
      </c>
      <c r="C36" s="10">
        <v>73.718741965499987</v>
      </c>
    </row>
    <row r="37" spans="1:3">
      <c r="A37" t="s">
        <v>15</v>
      </c>
      <c r="B37" t="s">
        <v>27</v>
      </c>
      <c r="C37" s="10">
        <v>69.370289031500008</v>
      </c>
    </row>
    <row r="38" spans="1:3">
      <c r="A38" t="s">
        <v>17</v>
      </c>
      <c r="B38" t="s">
        <v>11</v>
      </c>
      <c r="C38" s="10">
        <v>67.588072544100001</v>
      </c>
    </row>
    <row r="39" spans="1:3">
      <c r="A39" t="s">
        <v>17</v>
      </c>
      <c r="B39" t="s">
        <v>12</v>
      </c>
      <c r="C39" s="10">
        <v>65.743518112000004</v>
      </c>
    </row>
    <row r="40" spans="1:3">
      <c r="A40" t="s">
        <v>17</v>
      </c>
      <c r="B40" t="s">
        <v>14</v>
      </c>
      <c r="C40" s="10">
        <v>87.257341823400012</v>
      </c>
    </row>
    <row r="41" spans="1:3">
      <c r="A41" t="s">
        <v>17</v>
      </c>
      <c r="B41" t="s">
        <v>16</v>
      </c>
      <c r="C41" s="10">
        <v>110.35090283778332</v>
      </c>
    </row>
    <row r="42" spans="1:3">
      <c r="A42" t="s">
        <v>17</v>
      </c>
      <c r="B42" t="s">
        <v>18</v>
      </c>
      <c r="C42" s="10">
        <v>132.98706841339998</v>
      </c>
    </row>
    <row r="43" spans="1:3">
      <c r="A43" t="s">
        <v>17</v>
      </c>
      <c r="B43" t="s">
        <v>20</v>
      </c>
      <c r="C43" s="10">
        <v>100.23593533566667</v>
      </c>
    </row>
    <row r="44" spans="1:3">
      <c r="A44" t="s">
        <v>17</v>
      </c>
      <c r="B44" t="s">
        <v>22</v>
      </c>
      <c r="C44" s="10">
        <v>96.769899088683331</v>
      </c>
    </row>
    <row r="45" spans="1:3">
      <c r="A45" t="s">
        <v>17</v>
      </c>
      <c r="B45" t="s">
        <v>23</v>
      </c>
      <c r="C45" s="10">
        <v>92.008765655900007</v>
      </c>
    </row>
    <row r="46" spans="1:3">
      <c r="A46" t="s">
        <v>17</v>
      </c>
      <c r="B46" t="s">
        <v>24</v>
      </c>
      <c r="C46" s="10">
        <v>80.383051522933329</v>
      </c>
    </row>
    <row r="47" spans="1:3">
      <c r="A47" t="s">
        <v>17</v>
      </c>
      <c r="B47" t="s">
        <v>25</v>
      </c>
      <c r="C47" s="10">
        <v>80.494222607566655</v>
      </c>
    </row>
    <row r="48" spans="1:3">
      <c r="A48" t="s">
        <v>17</v>
      </c>
      <c r="B48" t="s">
        <v>26</v>
      </c>
      <c r="C48" s="10">
        <v>72.792700835416653</v>
      </c>
    </row>
    <row r="49" spans="1:3">
      <c r="A49" t="s">
        <v>17</v>
      </c>
      <c r="B49" t="s">
        <v>27</v>
      </c>
      <c r="C49" s="10">
        <v>67.112754600499997</v>
      </c>
    </row>
    <row r="50" spans="1:3">
      <c r="A50" t="s">
        <v>19</v>
      </c>
      <c r="B50" t="s">
        <v>11</v>
      </c>
      <c r="C50" s="10">
        <v>62.971341820850007</v>
      </c>
    </row>
    <row r="51" spans="1:3">
      <c r="A51" t="s">
        <v>19</v>
      </c>
      <c r="B51" t="s">
        <v>12</v>
      </c>
      <c r="C51" s="10">
        <v>60.918019195599996</v>
      </c>
    </row>
    <row r="52" spans="1:3">
      <c r="A52" t="s">
        <v>19</v>
      </c>
      <c r="B52" t="s">
        <v>14</v>
      </c>
      <c r="C52" s="10">
        <v>81.33589839439999</v>
      </c>
    </row>
    <row r="53" spans="1:3">
      <c r="A53" t="s">
        <v>19</v>
      </c>
      <c r="B53" t="s">
        <v>16</v>
      </c>
      <c r="C53" s="10">
        <v>103.60869933781666</v>
      </c>
    </row>
    <row r="54" spans="1:3">
      <c r="A54" t="s">
        <v>19</v>
      </c>
      <c r="B54" t="s">
        <v>18</v>
      </c>
      <c r="C54" s="10">
        <v>123.17755224324999</v>
      </c>
    </row>
    <row r="55" spans="1:3">
      <c r="A55" t="s">
        <v>19</v>
      </c>
      <c r="B55" t="s">
        <v>20</v>
      </c>
      <c r="C55" s="10">
        <v>93.791539252316667</v>
      </c>
    </row>
    <row r="56" spans="1:3">
      <c r="A56" t="s">
        <v>19</v>
      </c>
      <c r="B56" t="s">
        <v>22</v>
      </c>
      <c r="C56" s="10">
        <v>91.213771891199997</v>
      </c>
    </row>
    <row r="57" spans="1:3">
      <c r="A57" t="s">
        <v>19</v>
      </c>
      <c r="B57" t="s">
        <v>23</v>
      </c>
      <c r="C57" s="10">
        <v>88.149774918066669</v>
      </c>
    </row>
    <row r="58" spans="1:3">
      <c r="A58" t="s">
        <v>19</v>
      </c>
      <c r="B58" t="s">
        <v>24</v>
      </c>
      <c r="C58" s="10">
        <v>78.319168101666676</v>
      </c>
    </row>
    <row r="59" spans="1:3">
      <c r="A59" t="s">
        <v>19</v>
      </c>
      <c r="B59" t="s">
        <v>25</v>
      </c>
      <c r="C59" s="10">
        <v>79.45867931461666</v>
      </c>
    </row>
    <row r="60" spans="1:3">
      <c r="A60" t="s">
        <v>19</v>
      </c>
      <c r="B60" t="s">
        <v>26</v>
      </c>
      <c r="C60" s="10">
        <v>70.997361958366653</v>
      </c>
    </row>
    <row r="61" spans="1:3">
      <c r="A61" t="s">
        <v>19</v>
      </c>
      <c r="B61" t="s">
        <v>27</v>
      </c>
      <c r="C61" s="10">
        <v>63.878609666499997</v>
      </c>
    </row>
    <row r="62" spans="1:3">
      <c r="A62" t="s">
        <v>21</v>
      </c>
      <c r="B62" t="s">
        <v>11</v>
      </c>
      <c r="C62" s="10">
        <v>69.633122251350002</v>
      </c>
    </row>
    <row r="63" spans="1:3">
      <c r="A63" t="s">
        <v>21</v>
      </c>
      <c r="B63" t="s">
        <v>12</v>
      </c>
      <c r="C63" s="10">
        <v>68.252872499599988</v>
      </c>
    </row>
    <row r="64" spans="1:3">
      <c r="A64" t="s">
        <v>21</v>
      </c>
      <c r="B64" t="s">
        <v>14</v>
      </c>
      <c r="C64" s="10">
        <v>90.52954123180001</v>
      </c>
    </row>
    <row r="65" spans="1:3">
      <c r="A65" t="s">
        <v>21</v>
      </c>
      <c r="B65" t="s">
        <v>16</v>
      </c>
      <c r="C65" s="10">
        <v>113.86989183128331</v>
      </c>
    </row>
    <row r="66" spans="1:3">
      <c r="A66" t="s">
        <v>21</v>
      </c>
      <c r="B66" t="s">
        <v>18</v>
      </c>
      <c r="C66" s="10">
        <v>134.51481120779999</v>
      </c>
    </row>
    <row r="67" spans="1:3">
      <c r="A67" t="s">
        <v>21</v>
      </c>
      <c r="B67" t="s">
        <v>20</v>
      </c>
      <c r="C67" s="10">
        <v>102.47901384953333</v>
      </c>
    </row>
    <row r="68" spans="1:3">
      <c r="A68" t="s">
        <v>21</v>
      </c>
      <c r="B68" t="s">
        <v>22</v>
      </c>
      <c r="C68" s="10">
        <v>98.669617457916672</v>
      </c>
    </row>
    <row r="69" spans="1:3">
      <c r="A69" t="s">
        <v>21</v>
      </c>
      <c r="B69" t="s">
        <v>23</v>
      </c>
      <c r="C69" s="10">
        <v>93.728626592416674</v>
      </c>
    </row>
    <row r="70" spans="1:3">
      <c r="A70" t="s">
        <v>21</v>
      </c>
      <c r="B70" t="s">
        <v>24</v>
      </c>
      <c r="C70" s="10">
        <v>82.560325938133332</v>
      </c>
    </row>
    <row r="71" spans="1:3">
      <c r="A71" t="s">
        <v>21</v>
      </c>
      <c r="B71" t="s">
        <v>25</v>
      </c>
      <c r="C71" s="10">
        <v>82.539306985699994</v>
      </c>
    </row>
    <row r="72" spans="1:3">
      <c r="A72" t="s">
        <v>21</v>
      </c>
      <c r="B72" t="s">
        <v>26</v>
      </c>
      <c r="C72" s="10">
        <v>74.033548906900009</v>
      </c>
    </row>
    <row r="73" spans="1:3">
      <c r="A73" t="s">
        <v>21</v>
      </c>
      <c r="B73" t="s">
        <v>27</v>
      </c>
      <c r="C73" s="10">
        <v>68.549098473000001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66"/>
  <sheetViews>
    <sheetView workbookViewId="0">
      <pane ySplit="1" topLeftCell="A2" activePane="bottomLeft" state="frozen"/>
      <selection pane="bottomLeft"/>
    </sheetView>
  </sheetViews>
  <sheetFormatPr baseColWidth="10" defaultColWidth="9" defaultRowHeight="13.5"/>
  <cols>
    <col min="1" max="1" width="23" customWidth="1"/>
    <col min="2" max="4" width="18" customWidth="1"/>
  </cols>
  <sheetData>
    <row r="1" spans="1:4" ht="13.9">
      <c r="A1" s="11" t="s">
        <v>31</v>
      </c>
      <c r="B1" s="11" t="s">
        <v>32</v>
      </c>
      <c r="C1" s="11" t="s">
        <v>33</v>
      </c>
      <c r="D1" s="11" t="s">
        <v>34</v>
      </c>
    </row>
    <row r="2" spans="1:4">
      <c r="A2" t="s">
        <v>35</v>
      </c>
      <c r="B2">
        <v>1</v>
      </c>
      <c r="C2" t="s">
        <v>11</v>
      </c>
      <c r="D2" s="12">
        <v>0.75</v>
      </c>
    </row>
    <row r="3" spans="1:4">
      <c r="A3" t="s">
        <v>36</v>
      </c>
      <c r="B3">
        <v>2</v>
      </c>
      <c r="C3" t="s">
        <v>11</v>
      </c>
      <c r="D3" s="12">
        <v>0.75</v>
      </c>
    </row>
    <row r="4" spans="1:4">
      <c r="A4" t="s">
        <v>37</v>
      </c>
      <c r="B4">
        <v>3</v>
      </c>
      <c r="C4" t="s">
        <v>11</v>
      </c>
      <c r="D4" s="12">
        <v>0.75</v>
      </c>
    </row>
    <row r="5" spans="1:4">
      <c r="A5" t="s">
        <v>38</v>
      </c>
      <c r="B5">
        <v>4</v>
      </c>
      <c r="C5" t="s">
        <v>11</v>
      </c>
      <c r="D5" s="12">
        <v>0.75</v>
      </c>
    </row>
    <row r="6" spans="1:4">
      <c r="A6" t="s">
        <v>39</v>
      </c>
      <c r="B6">
        <v>5</v>
      </c>
      <c r="C6" t="s">
        <v>11</v>
      </c>
      <c r="D6" s="12">
        <v>0.75</v>
      </c>
    </row>
    <row r="7" spans="1:4">
      <c r="A7" t="s">
        <v>40</v>
      </c>
      <c r="B7">
        <v>6</v>
      </c>
      <c r="C7" t="s">
        <v>11</v>
      </c>
      <c r="D7" s="12">
        <v>0.75</v>
      </c>
    </row>
    <row r="8" spans="1:4">
      <c r="A8" t="s">
        <v>41</v>
      </c>
      <c r="B8">
        <v>7</v>
      </c>
      <c r="C8" t="s">
        <v>11</v>
      </c>
      <c r="D8" s="12">
        <v>0.75</v>
      </c>
    </row>
    <row r="9" spans="1:4">
      <c r="A9" t="s">
        <v>42</v>
      </c>
      <c r="B9">
        <v>8</v>
      </c>
      <c r="C9" t="s">
        <v>11</v>
      </c>
      <c r="D9" s="12">
        <v>0.75</v>
      </c>
    </row>
    <row r="10" spans="1:4">
      <c r="A10" t="s">
        <v>43</v>
      </c>
      <c r="B10">
        <v>9</v>
      </c>
      <c r="C10" t="s">
        <v>11</v>
      </c>
      <c r="D10" s="12">
        <v>0.75</v>
      </c>
    </row>
    <row r="11" spans="1:4">
      <c r="A11" t="s">
        <v>44</v>
      </c>
      <c r="B11">
        <v>10</v>
      </c>
      <c r="C11" t="s">
        <v>11</v>
      </c>
      <c r="D11" s="12">
        <v>0.75</v>
      </c>
    </row>
    <row r="12" spans="1:4">
      <c r="A12" t="s">
        <v>45</v>
      </c>
      <c r="B12">
        <v>11</v>
      </c>
      <c r="C12" t="s">
        <v>11</v>
      </c>
      <c r="D12" s="12">
        <v>0.75</v>
      </c>
    </row>
    <row r="13" spans="1:4">
      <c r="A13" t="s">
        <v>46</v>
      </c>
      <c r="B13">
        <v>12</v>
      </c>
      <c r="C13" t="s">
        <v>11</v>
      </c>
      <c r="D13" s="12">
        <v>0.75</v>
      </c>
    </row>
    <row r="14" spans="1:4">
      <c r="A14" t="s">
        <v>47</v>
      </c>
      <c r="B14">
        <v>13</v>
      </c>
      <c r="C14" t="s">
        <v>11</v>
      </c>
      <c r="D14" s="12">
        <v>0.75</v>
      </c>
    </row>
    <row r="15" spans="1:4">
      <c r="A15" t="s">
        <v>48</v>
      </c>
      <c r="B15">
        <v>14</v>
      </c>
      <c r="C15" t="s">
        <v>11</v>
      </c>
      <c r="D15" s="12">
        <v>0.75</v>
      </c>
    </row>
    <row r="16" spans="1:4">
      <c r="A16" t="s">
        <v>49</v>
      </c>
      <c r="B16">
        <v>15</v>
      </c>
      <c r="C16" t="s">
        <v>11</v>
      </c>
      <c r="D16" s="12">
        <v>0.75</v>
      </c>
    </row>
    <row r="17" spans="1:4">
      <c r="A17" t="s">
        <v>50</v>
      </c>
      <c r="B17">
        <v>16</v>
      </c>
      <c r="C17" t="s">
        <v>11</v>
      </c>
      <c r="D17" s="12">
        <v>0.75</v>
      </c>
    </row>
    <row r="18" spans="1:4">
      <c r="A18" t="s">
        <v>51</v>
      </c>
      <c r="B18">
        <v>17</v>
      </c>
      <c r="C18" t="s">
        <v>11</v>
      </c>
      <c r="D18" s="12">
        <v>0.75</v>
      </c>
    </row>
    <row r="19" spans="1:4">
      <c r="A19" t="s">
        <v>52</v>
      </c>
      <c r="B19">
        <v>18</v>
      </c>
      <c r="C19" t="s">
        <v>11</v>
      </c>
      <c r="D19" s="12">
        <v>0.75</v>
      </c>
    </row>
    <row r="20" spans="1:4">
      <c r="A20" t="s">
        <v>53</v>
      </c>
      <c r="B20">
        <v>19</v>
      </c>
      <c r="C20" t="s">
        <v>11</v>
      </c>
      <c r="D20" s="12">
        <v>0.75</v>
      </c>
    </row>
    <row r="21" spans="1:4">
      <c r="A21" t="s">
        <v>54</v>
      </c>
      <c r="B21">
        <v>20</v>
      </c>
      <c r="C21" t="s">
        <v>11</v>
      </c>
      <c r="D21" s="12">
        <v>0.6</v>
      </c>
    </row>
    <row r="22" spans="1:4">
      <c r="A22" t="s">
        <v>55</v>
      </c>
      <c r="B22">
        <v>21</v>
      </c>
      <c r="C22" t="s">
        <v>11</v>
      </c>
      <c r="D22" s="12">
        <v>0.6</v>
      </c>
    </row>
    <row r="23" spans="1:4">
      <c r="A23" t="s">
        <v>56</v>
      </c>
      <c r="B23">
        <v>22</v>
      </c>
      <c r="C23" t="s">
        <v>11</v>
      </c>
      <c r="D23" s="12">
        <v>0.6</v>
      </c>
    </row>
    <row r="24" spans="1:4">
      <c r="A24" t="s">
        <v>57</v>
      </c>
      <c r="B24">
        <v>23</v>
      </c>
      <c r="C24" t="s">
        <v>11</v>
      </c>
      <c r="D24" s="12">
        <v>0.6</v>
      </c>
    </row>
    <row r="25" spans="1:4">
      <c r="A25" t="s">
        <v>58</v>
      </c>
      <c r="B25">
        <v>24</v>
      </c>
      <c r="C25" t="s">
        <v>11</v>
      </c>
      <c r="D25" s="12">
        <v>0.6</v>
      </c>
    </row>
    <row r="26" spans="1:4">
      <c r="A26" t="s">
        <v>59</v>
      </c>
      <c r="B26">
        <v>25</v>
      </c>
      <c r="C26" t="s">
        <v>11</v>
      </c>
      <c r="D26" s="12">
        <v>0.6</v>
      </c>
    </row>
    <row r="27" spans="1:4">
      <c r="A27" t="s">
        <v>60</v>
      </c>
      <c r="B27">
        <v>26</v>
      </c>
      <c r="C27" t="s">
        <v>11</v>
      </c>
      <c r="D27" s="12">
        <v>0.6</v>
      </c>
    </row>
    <row r="28" spans="1:4">
      <c r="A28" t="s">
        <v>61</v>
      </c>
      <c r="B28">
        <v>27</v>
      </c>
      <c r="C28" t="s">
        <v>11</v>
      </c>
      <c r="D28" s="12">
        <v>0.6</v>
      </c>
    </row>
    <row r="29" spans="1:4">
      <c r="A29" t="s">
        <v>62</v>
      </c>
      <c r="B29">
        <v>28</v>
      </c>
      <c r="C29" t="s">
        <v>11</v>
      </c>
      <c r="D29" s="12">
        <v>0.6</v>
      </c>
    </row>
    <row r="30" spans="1:4">
      <c r="A30" t="s">
        <v>63</v>
      </c>
      <c r="B30">
        <v>29</v>
      </c>
      <c r="C30" t="s">
        <v>11</v>
      </c>
      <c r="D30" s="12">
        <v>0.6</v>
      </c>
    </row>
    <row r="31" spans="1:4">
      <c r="A31" t="s">
        <v>64</v>
      </c>
      <c r="B31">
        <v>30</v>
      </c>
      <c r="C31" t="s">
        <v>11</v>
      </c>
      <c r="D31" s="12">
        <v>0.6</v>
      </c>
    </row>
    <row r="32" spans="1:4">
      <c r="A32" t="s">
        <v>65</v>
      </c>
      <c r="B32">
        <v>31</v>
      </c>
      <c r="C32" t="s">
        <v>11</v>
      </c>
      <c r="D32" s="12">
        <v>0.6</v>
      </c>
    </row>
    <row r="33" spans="1:4">
      <c r="A33" t="s">
        <v>66</v>
      </c>
      <c r="B33">
        <v>32</v>
      </c>
      <c r="C33" t="s">
        <v>12</v>
      </c>
      <c r="D33" s="12">
        <v>0.6</v>
      </c>
    </row>
    <row r="34" spans="1:4">
      <c r="A34" t="s">
        <v>67</v>
      </c>
      <c r="B34">
        <v>33</v>
      </c>
      <c r="C34" t="s">
        <v>12</v>
      </c>
      <c r="D34" s="12">
        <v>0.6</v>
      </c>
    </row>
    <row r="35" spans="1:4">
      <c r="A35" t="s">
        <v>68</v>
      </c>
      <c r="B35">
        <v>34</v>
      </c>
      <c r="C35" t="s">
        <v>12</v>
      </c>
      <c r="D35" s="12">
        <v>0.6</v>
      </c>
    </row>
    <row r="36" spans="1:4">
      <c r="A36" t="s">
        <v>69</v>
      </c>
      <c r="B36">
        <v>35</v>
      </c>
      <c r="C36" t="s">
        <v>12</v>
      </c>
      <c r="D36" s="12">
        <v>0.6</v>
      </c>
    </row>
    <row r="37" spans="1:4">
      <c r="A37" t="s">
        <v>70</v>
      </c>
      <c r="B37">
        <v>36</v>
      </c>
      <c r="C37" t="s">
        <v>12</v>
      </c>
      <c r="D37" s="12">
        <v>0.6</v>
      </c>
    </row>
    <row r="38" spans="1:4">
      <c r="A38" t="s">
        <v>71</v>
      </c>
      <c r="B38">
        <v>37</v>
      </c>
      <c r="C38" t="s">
        <v>12</v>
      </c>
      <c r="D38" s="12">
        <v>0.6</v>
      </c>
    </row>
    <row r="39" spans="1:4">
      <c r="A39" t="s">
        <v>72</v>
      </c>
      <c r="B39">
        <v>38</v>
      </c>
      <c r="C39" t="s">
        <v>12</v>
      </c>
      <c r="D39" s="12">
        <v>0.6</v>
      </c>
    </row>
    <row r="40" spans="1:4">
      <c r="A40" t="s">
        <v>73</v>
      </c>
      <c r="B40">
        <v>39</v>
      </c>
      <c r="C40" t="s">
        <v>12</v>
      </c>
      <c r="D40" s="12">
        <v>0.6</v>
      </c>
    </row>
    <row r="41" spans="1:4">
      <c r="A41" t="s">
        <v>74</v>
      </c>
      <c r="B41">
        <v>40</v>
      </c>
      <c r="C41" t="s">
        <v>12</v>
      </c>
      <c r="D41" s="12">
        <v>0.6</v>
      </c>
    </row>
    <row r="42" spans="1:4">
      <c r="A42" t="s">
        <v>75</v>
      </c>
      <c r="B42">
        <v>41</v>
      </c>
      <c r="C42" t="s">
        <v>12</v>
      </c>
      <c r="D42" s="12">
        <v>0.6</v>
      </c>
    </row>
    <row r="43" spans="1:4">
      <c r="A43" t="s">
        <v>76</v>
      </c>
      <c r="B43">
        <v>42</v>
      </c>
      <c r="C43" t="s">
        <v>12</v>
      </c>
      <c r="D43" s="12">
        <v>0.6</v>
      </c>
    </row>
    <row r="44" spans="1:4">
      <c r="A44" t="s">
        <v>77</v>
      </c>
      <c r="B44">
        <v>43</v>
      </c>
      <c r="C44" t="s">
        <v>12</v>
      </c>
      <c r="D44" s="12">
        <v>0.6</v>
      </c>
    </row>
    <row r="45" spans="1:4">
      <c r="A45" t="s">
        <v>78</v>
      </c>
      <c r="B45">
        <v>44</v>
      </c>
      <c r="C45" t="s">
        <v>12</v>
      </c>
      <c r="D45" s="12">
        <v>0.6</v>
      </c>
    </row>
    <row r="46" spans="1:4">
      <c r="A46" t="s">
        <v>79</v>
      </c>
      <c r="B46">
        <v>45</v>
      </c>
      <c r="C46" t="s">
        <v>12</v>
      </c>
      <c r="D46" s="12">
        <v>0.6</v>
      </c>
    </row>
    <row r="47" spans="1:4">
      <c r="A47" t="s">
        <v>80</v>
      </c>
      <c r="B47">
        <v>46</v>
      </c>
      <c r="C47" t="s">
        <v>12</v>
      </c>
      <c r="D47" s="12">
        <v>0.6</v>
      </c>
    </row>
    <row r="48" spans="1:4">
      <c r="A48" t="s">
        <v>81</v>
      </c>
      <c r="B48">
        <v>47</v>
      </c>
      <c r="C48" t="s">
        <v>12</v>
      </c>
      <c r="D48" s="12">
        <v>0.6</v>
      </c>
    </row>
    <row r="49" spans="1:4">
      <c r="A49" t="s">
        <v>82</v>
      </c>
      <c r="B49">
        <v>48</v>
      </c>
      <c r="C49" t="s">
        <v>12</v>
      </c>
      <c r="D49" s="12">
        <v>0.6</v>
      </c>
    </row>
    <row r="50" spans="1:4">
      <c r="A50" t="s">
        <v>83</v>
      </c>
      <c r="B50">
        <v>49</v>
      </c>
      <c r="C50" t="s">
        <v>12</v>
      </c>
      <c r="D50" s="12">
        <v>0.6</v>
      </c>
    </row>
    <row r="51" spans="1:4">
      <c r="A51" t="s">
        <v>84</v>
      </c>
      <c r="B51">
        <v>50</v>
      </c>
      <c r="C51" t="s">
        <v>12</v>
      </c>
      <c r="D51" s="12">
        <v>0.6</v>
      </c>
    </row>
    <row r="52" spans="1:4">
      <c r="A52" t="s">
        <v>85</v>
      </c>
      <c r="B52">
        <v>51</v>
      </c>
      <c r="C52" t="s">
        <v>12</v>
      </c>
      <c r="D52" s="12">
        <v>0.6</v>
      </c>
    </row>
    <row r="53" spans="1:4">
      <c r="A53" t="s">
        <v>86</v>
      </c>
      <c r="B53">
        <v>52</v>
      </c>
      <c r="C53" t="s">
        <v>12</v>
      </c>
      <c r="D53" s="12">
        <v>0.6</v>
      </c>
    </row>
    <row r="54" spans="1:4">
      <c r="A54" t="s">
        <v>87</v>
      </c>
      <c r="B54">
        <v>53</v>
      </c>
      <c r="C54" t="s">
        <v>12</v>
      </c>
      <c r="D54" s="12">
        <v>0.6</v>
      </c>
    </row>
    <row r="55" spans="1:4">
      <c r="A55" t="s">
        <v>88</v>
      </c>
      <c r="B55">
        <v>54</v>
      </c>
      <c r="C55" t="s">
        <v>12</v>
      </c>
      <c r="D55" s="12">
        <v>0.6</v>
      </c>
    </row>
    <row r="56" spans="1:4">
      <c r="A56" t="s">
        <v>89</v>
      </c>
      <c r="B56">
        <v>55</v>
      </c>
      <c r="C56" t="s">
        <v>12</v>
      </c>
      <c r="D56" s="12">
        <v>0.6</v>
      </c>
    </row>
    <row r="57" spans="1:4">
      <c r="A57" t="s">
        <v>90</v>
      </c>
      <c r="B57">
        <v>56</v>
      </c>
      <c r="C57" t="s">
        <v>12</v>
      </c>
      <c r="D57" s="12">
        <v>0.6</v>
      </c>
    </row>
    <row r="58" spans="1:4">
      <c r="A58" t="s">
        <v>91</v>
      </c>
      <c r="B58">
        <v>57</v>
      </c>
      <c r="C58" t="s">
        <v>12</v>
      </c>
      <c r="D58" s="12">
        <v>0.6</v>
      </c>
    </row>
    <row r="59" spans="1:4">
      <c r="A59" t="s">
        <v>92</v>
      </c>
      <c r="B59">
        <v>58</v>
      </c>
      <c r="C59" t="s">
        <v>12</v>
      </c>
      <c r="D59" s="12">
        <v>0.6</v>
      </c>
    </row>
    <row r="60" spans="1:4">
      <c r="A60" t="s">
        <v>93</v>
      </c>
      <c r="B60">
        <v>59</v>
      </c>
      <c r="C60" t="s">
        <v>12</v>
      </c>
      <c r="D60" s="12">
        <v>0.6</v>
      </c>
    </row>
    <row r="61" spans="1:4">
      <c r="A61" t="s">
        <v>94</v>
      </c>
      <c r="B61">
        <v>60</v>
      </c>
      <c r="C61" t="s">
        <v>14</v>
      </c>
      <c r="D61" s="12">
        <v>0.6</v>
      </c>
    </row>
    <row r="62" spans="1:4">
      <c r="A62" t="s">
        <v>95</v>
      </c>
      <c r="B62">
        <v>61</v>
      </c>
      <c r="C62" t="s">
        <v>14</v>
      </c>
      <c r="D62" s="12">
        <v>0.6</v>
      </c>
    </row>
    <row r="63" spans="1:4">
      <c r="A63" t="s">
        <v>96</v>
      </c>
      <c r="B63">
        <v>62</v>
      </c>
      <c r="C63" t="s">
        <v>14</v>
      </c>
      <c r="D63" s="12">
        <v>0.6</v>
      </c>
    </row>
    <row r="64" spans="1:4">
      <c r="A64" t="s">
        <v>97</v>
      </c>
      <c r="B64">
        <v>63</v>
      </c>
      <c r="C64" t="s">
        <v>14</v>
      </c>
      <c r="D64" s="12">
        <v>0.6</v>
      </c>
    </row>
    <row r="65" spans="1:4">
      <c r="A65" t="s">
        <v>98</v>
      </c>
      <c r="B65">
        <v>64</v>
      </c>
      <c r="C65" t="s">
        <v>14</v>
      </c>
      <c r="D65" s="12">
        <v>0.6</v>
      </c>
    </row>
    <row r="66" spans="1:4">
      <c r="A66" t="s">
        <v>99</v>
      </c>
      <c r="B66">
        <v>65</v>
      </c>
      <c r="C66" t="s">
        <v>14</v>
      </c>
      <c r="D66" s="12">
        <v>0.6</v>
      </c>
    </row>
    <row r="67" spans="1:4">
      <c r="A67" t="s">
        <v>100</v>
      </c>
      <c r="B67">
        <v>66</v>
      </c>
      <c r="C67" t="s">
        <v>14</v>
      </c>
      <c r="D67" s="12">
        <v>0.6</v>
      </c>
    </row>
    <row r="68" spans="1:4">
      <c r="A68" t="s">
        <v>101</v>
      </c>
      <c r="B68">
        <v>67</v>
      </c>
      <c r="C68" t="s">
        <v>14</v>
      </c>
      <c r="D68" s="12">
        <v>0.6</v>
      </c>
    </row>
    <row r="69" spans="1:4">
      <c r="A69" t="s">
        <v>102</v>
      </c>
      <c r="B69">
        <v>68</v>
      </c>
      <c r="C69" t="s">
        <v>14</v>
      </c>
      <c r="D69" s="12">
        <v>0.6</v>
      </c>
    </row>
    <row r="70" spans="1:4">
      <c r="A70" t="s">
        <v>103</v>
      </c>
      <c r="B70">
        <v>69</v>
      </c>
      <c r="C70" t="s">
        <v>14</v>
      </c>
      <c r="D70" s="12">
        <v>0.6</v>
      </c>
    </row>
    <row r="71" spans="1:4">
      <c r="A71" t="s">
        <v>104</v>
      </c>
      <c r="B71">
        <v>70</v>
      </c>
      <c r="C71" t="s">
        <v>14</v>
      </c>
      <c r="D71" s="12">
        <v>0.6</v>
      </c>
    </row>
    <row r="72" spans="1:4">
      <c r="A72" t="s">
        <v>105</v>
      </c>
      <c r="B72">
        <v>71</v>
      </c>
      <c r="C72" t="s">
        <v>14</v>
      </c>
      <c r="D72" s="12">
        <v>0.6</v>
      </c>
    </row>
    <row r="73" spans="1:4">
      <c r="A73" t="s">
        <v>106</v>
      </c>
      <c r="B73">
        <v>72</v>
      </c>
      <c r="C73" t="s">
        <v>14</v>
      </c>
      <c r="D73" s="12">
        <v>0.6</v>
      </c>
    </row>
    <row r="74" spans="1:4">
      <c r="A74" t="s">
        <v>107</v>
      </c>
      <c r="B74">
        <v>73</v>
      </c>
      <c r="C74" t="s">
        <v>14</v>
      </c>
      <c r="D74" s="12">
        <v>0.6</v>
      </c>
    </row>
    <row r="75" spans="1:4">
      <c r="A75" t="s">
        <v>108</v>
      </c>
      <c r="B75">
        <v>74</v>
      </c>
      <c r="C75" t="s">
        <v>14</v>
      </c>
      <c r="D75" s="12">
        <v>0.6</v>
      </c>
    </row>
    <row r="76" spans="1:4">
      <c r="A76" t="s">
        <v>109</v>
      </c>
      <c r="B76">
        <v>75</v>
      </c>
      <c r="C76" t="s">
        <v>14</v>
      </c>
      <c r="D76" s="12">
        <v>0.6</v>
      </c>
    </row>
    <row r="77" spans="1:4">
      <c r="A77" t="s">
        <v>110</v>
      </c>
      <c r="B77">
        <v>76</v>
      </c>
      <c r="C77" t="s">
        <v>14</v>
      </c>
      <c r="D77" s="12">
        <v>0.6</v>
      </c>
    </row>
    <row r="78" spans="1:4">
      <c r="A78" t="s">
        <v>111</v>
      </c>
      <c r="B78">
        <v>77</v>
      </c>
      <c r="C78" t="s">
        <v>14</v>
      </c>
      <c r="D78" s="12">
        <v>0.6</v>
      </c>
    </row>
    <row r="79" spans="1:4">
      <c r="A79" t="s">
        <v>112</v>
      </c>
      <c r="B79">
        <v>78</v>
      </c>
      <c r="C79" t="s">
        <v>14</v>
      </c>
      <c r="D79" s="12">
        <v>0.6</v>
      </c>
    </row>
    <row r="80" spans="1:4">
      <c r="A80" t="s">
        <v>113</v>
      </c>
      <c r="B80">
        <v>79</v>
      </c>
      <c r="C80" t="s">
        <v>14</v>
      </c>
      <c r="D80" s="12">
        <v>0.6</v>
      </c>
    </row>
    <row r="81" spans="1:4">
      <c r="A81" t="s">
        <v>114</v>
      </c>
      <c r="B81">
        <v>80</v>
      </c>
      <c r="C81" t="s">
        <v>14</v>
      </c>
      <c r="D81" s="12">
        <v>0.6</v>
      </c>
    </row>
    <row r="82" spans="1:4">
      <c r="A82" t="s">
        <v>115</v>
      </c>
      <c r="B82">
        <v>81</v>
      </c>
      <c r="C82" t="s">
        <v>14</v>
      </c>
      <c r="D82" s="12">
        <v>0.6</v>
      </c>
    </row>
    <row r="83" spans="1:4">
      <c r="A83" t="s">
        <v>116</v>
      </c>
      <c r="B83">
        <v>82</v>
      </c>
      <c r="C83" t="s">
        <v>14</v>
      </c>
      <c r="D83" s="12">
        <v>0.6</v>
      </c>
    </row>
    <row r="84" spans="1:4">
      <c r="A84" t="s">
        <v>117</v>
      </c>
      <c r="B84">
        <v>83</v>
      </c>
      <c r="C84" t="s">
        <v>14</v>
      </c>
      <c r="D84" s="12">
        <v>0.6</v>
      </c>
    </row>
    <row r="85" spans="1:4">
      <c r="A85" t="s">
        <v>118</v>
      </c>
      <c r="B85">
        <v>84</v>
      </c>
      <c r="C85" t="s">
        <v>14</v>
      </c>
      <c r="D85" s="12">
        <v>0.6</v>
      </c>
    </row>
    <row r="86" spans="1:4">
      <c r="A86" t="s">
        <v>119</v>
      </c>
      <c r="B86">
        <v>85</v>
      </c>
      <c r="C86" t="s">
        <v>14</v>
      </c>
      <c r="D86" s="12">
        <v>0.6</v>
      </c>
    </row>
    <row r="87" spans="1:4">
      <c r="A87" t="s">
        <v>120</v>
      </c>
      <c r="B87">
        <v>86</v>
      </c>
      <c r="C87" t="s">
        <v>14</v>
      </c>
      <c r="D87" s="12">
        <v>0.6</v>
      </c>
    </row>
    <row r="88" spans="1:4">
      <c r="A88" t="s">
        <v>121</v>
      </c>
      <c r="B88">
        <v>87</v>
      </c>
      <c r="C88" t="s">
        <v>14</v>
      </c>
      <c r="D88" s="12">
        <v>0.6</v>
      </c>
    </row>
    <row r="89" spans="1:4">
      <c r="A89" t="s">
        <v>122</v>
      </c>
      <c r="B89">
        <v>88</v>
      </c>
      <c r="C89" t="s">
        <v>14</v>
      </c>
      <c r="D89" s="12">
        <v>0.6</v>
      </c>
    </row>
    <row r="90" spans="1:4">
      <c r="A90" t="s">
        <v>123</v>
      </c>
      <c r="B90">
        <v>89</v>
      </c>
      <c r="C90" t="s">
        <v>14</v>
      </c>
      <c r="D90" s="12">
        <v>0.6</v>
      </c>
    </row>
    <row r="91" spans="1:4">
      <c r="A91" t="s">
        <v>124</v>
      </c>
      <c r="B91">
        <v>90</v>
      </c>
      <c r="C91" t="s">
        <v>14</v>
      </c>
      <c r="D91" s="12">
        <v>0.6</v>
      </c>
    </row>
    <row r="92" spans="1:4">
      <c r="A92" t="s">
        <v>125</v>
      </c>
      <c r="B92">
        <v>91</v>
      </c>
      <c r="C92" t="s">
        <v>16</v>
      </c>
      <c r="D92" s="12">
        <v>0.6</v>
      </c>
    </row>
    <row r="93" spans="1:4">
      <c r="A93" t="s">
        <v>126</v>
      </c>
      <c r="B93">
        <v>92</v>
      </c>
      <c r="C93" t="s">
        <v>16</v>
      </c>
      <c r="D93" s="12">
        <v>0.6</v>
      </c>
    </row>
    <row r="94" spans="1:4">
      <c r="A94" t="s">
        <v>127</v>
      </c>
      <c r="B94">
        <v>93</v>
      </c>
      <c r="C94" t="s">
        <v>16</v>
      </c>
      <c r="D94" s="12">
        <v>0.6</v>
      </c>
    </row>
    <row r="95" spans="1:4">
      <c r="A95" t="s">
        <v>128</v>
      </c>
      <c r="B95">
        <v>94</v>
      </c>
      <c r="C95" t="s">
        <v>16</v>
      </c>
      <c r="D95" s="12">
        <v>0.6</v>
      </c>
    </row>
    <row r="96" spans="1:4">
      <c r="A96" t="s">
        <v>129</v>
      </c>
      <c r="B96">
        <v>95</v>
      </c>
      <c r="C96" t="s">
        <v>16</v>
      </c>
      <c r="D96" s="12">
        <v>0.6</v>
      </c>
    </row>
    <row r="97" spans="1:4">
      <c r="A97" t="s">
        <v>130</v>
      </c>
      <c r="B97">
        <v>96</v>
      </c>
      <c r="C97" t="s">
        <v>16</v>
      </c>
      <c r="D97" s="12">
        <v>0.6</v>
      </c>
    </row>
    <row r="98" spans="1:4">
      <c r="A98" t="s">
        <v>131</v>
      </c>
      <c r="B98">
        <v>97</v>
      </c>
      <c r="C98" t="s">
        <v>16</v>
      </c>
      <c r="D98" s="12">
        <v>0.6</v>
      </c>
    </row>
    <row r="99" spans="1:4">
      <c r="A99" t="s">
        <v>132</v>
      </c>
      <c r="B99">
        <v>98</v>
      </c>
      <c r="C99" t="s">
        <v>16</v>
      </c>
      <c r="D99" s="12">
        <v>0.6</v>
      </c>
    </row>
    <row r="100" spans="1:4">
      <c r="A100" t="s">
        <v>133</v>
      </c>
      <c r="B100">
        <v>99</v>
      </c>
      <c r="C100" t="s">
        <v>16</v>
      </c>
      <c r="D100" s="12">
        <v>0.6</v>
      </c>
    </row>
    <row r="101" spans="1:4">
      <c r="A101" t="s">
        <v>134</v>
      </c>
      <c r="B101">
        <v>100</v>
      </c>
      <c r="C101" t="s">
        <v>16</v>
      </c>
      <c r="D101" s="12">
        <v>0.6</v>
      </c>
    </row>
    <row r="102" spans="1:4">
      <c r="A102" t="s">
        <v>135</v>
      </c>
      <c r="B102">
        <v>101</v>
      </c>
      <c r="C102" t="s">
        <v>16</v>
      </c>
      <c r="D102" s="12">
        <v>0.6</v>
      </c>
    </row>
    <row r="103" spans="1:4">
      <c r="A103" t="s">
        <v>136</v>
      </c>
      <c r="B103">
        <v>102</v>
      </c>
      <c r="C103" t="s">
        <v>16</v>
      </c>
      <c r="D103" s="12">
        <v>0.6</v>
      </c>
    </row>
    <row r="104" spans="1:4">
      <c r="A104" t="s">
        <v>137</v>
      </c>
      <c r="B104">
        <v>103</v>
      </c>
      <c r="C104" t="s">
        <v>16</v>
      </c>
      <c r="D104" s="12">
        <v>0.6</v>
      </c>
    </row>
    <row r="105" spans="1:4">
      <c r="A105" t="s">
        <v>138</v>
      </c>
      <c r="B105">
        <v>104</v>
      </c>
      <c r="C105" t="s">
        <v>16</v>
      </c>
      <c r="D105" s="12">
        <v>0.6</v>
      </c>
    </row>
    <row r="106" spans="1:4">
      <c r="A106" t="s">
        <v>139</v>
      </c>
      <c r="B106">
        <v>105</v>
      </c>
      <c r="C106" t="s">
        <v>16</v>
      </c>
      <c r="D106" s="12">
        <v>0.6</v>
      </c>
    </row>
    <row r="107" spans="1:4">
      <c r="A107" t="s">
        <v>140</v>
      </c>
      <c r="B107">
        <v>106</v>
      </c>
      <c r="C107" t="s">
        <v>16</v>
      </c>
      <c r="D107" s="12">
        <v>0.6</v>
      </c>
    </row>
    <row r="108" spans="1:4">
      <c r="A108" t="s">
        <v>141</v>
      </c>
      <c r="B108">
        <v>107</v>
      </c>
      <c r="C108" t="s">
        <v>16</v>
      </c>
      <c r="D108" s="12">
        <v>0.6</v>
      </c>
    </row>
    <row r="109" spans="1:4">
      <c r="A109" t="s">
        <v>142</v>
      </c>
      <c r="B109">
        <v>108</v>
      </c>
      <c r="C109" t="s">
        <v>16</v>
      </c>
      <c r="D109" s="12">
        <v>0.6</v>
      </c>
    </row>
    <row r="110" spans="1:4">
      <c r="A110" t="s">
        <v>143</v>
      </c>
      <c r="B110">
        <v>109</v>
      </c>
      <c r="C110" t="s">
        <v>16</v>
      </c>
      <c r="D110" s="12">
        <v>0.6</v>
      </c>
    </row>
    <row r="111" spans="1:4">
      <c r="A111" t="s">
        <v>144</v>
      </c>
      <c r="B111">
        <v>110</v>
      </c>
      <c r="C111" t="s">
        <v>16</v>
      </c>
      <c r="D111" s="12">
        <v>0.85</v>
      </c>
    </row>
    <row r="112" spans="1:4">
      <c r="A112" t="s">
        <v>145</v>
      </c>
      <c r="B112">
        <v>111</v>
      </c>
      <c r="C112" t="s">
        <v>16</v>
      </c>
      <c r="D112" s="12">
        <v>0.85</v>
      </c>
    </row>
    <row r="113" spans="1:4">
      <c r="A113" t="s">
        <v>146</v>
      </c>
      <c r="B113">
        <v>112</v>
      </c>
      <c r="C113" t="s">
        <v>16</v>
      </c>
      <c r="D113" s="12">
        <v>0.85</v>
      </c>
    </row>
    <row r="114" spans="1:4">
      <c r="A114" t="s">
        <v>147</v>
      </c>
      <c r="B114">
        <v>113</v>
      </c>
      <c r="C114" t="s">
        <v>16</v>
      </c>
      <c r="D114" s="12">
        <v>0.85</v>
      </c>
    </row>
    <row r="115" spans="1:4">
      <c r="A115" t="s">
        <v>148</v>
      </c>
      <c r="B115">
        <v>114</v>
      </c>
      <c r="C115" t="s">
        <v>16</v>
      </c>
      <c r="D115" s="12">
        <v>0.85</v>
      </c>
    </row>
    <row r="116" spans="1:4">
      <c r="A116" t="s">
        <v>149</v>
      </c>
      <c r="B116">
        <v>115</v>
      </c>
      <c r="C116" t="s">
        <v>16</v>
      </c>
      <c r="D116" s="12">
        <v>0.85</v>
      </c>
    </row>
    <row r="117" spans="1:4">
      <c r="A117" t="s">
        <v>150</v>
      </c>
      <c r="B117">
        <v>116</v>
      </c>
      <c r="C117" t="s">
        <v>16</v>
      </c>
      <c r="D117" s="12">
        <v>0.85</v>
      </c>
    </row>
    <row r="118" spans="1:4">
      <c r="A118" t="s">
        <v>151</v>
      </c>
      <c r="B118">
        <v>117</v>
      </c>
      <c r="C118" t="s">
        <v>16</v>
      </c>
      <c r="D118" s="12">
        <v>0.85</v>
      </c>
    </row>
    <row r="119" spans="1:4">
      <c r="A119" t="s">
        <v>152</v>
      </c>
      <c r="B119">
        <v>118</v>
      </c>
      <c r="C119" t="s">
        <v>16</v>
      </c>
      <c r="D119" s="12">
        <v>0.85</v>
      </c>
    </row>
    <row r="120" spans="1:4">
      <c r="A120" t="s">
        <v>153</v>
      </c>
      <c r="B120">
        <v>119</v>
      </c>
      <c r="C120" t="s">
        <v>16</v>
      </c>
      <c r="D120" s="12">
        <v>0.85</v>
      </c>
    </row>
    <row r="121" spans="1:4">
      <c r="A121" t="s">
        <v>154</v>
      </c>
      <c r="B121">
        <v>120</v>
      </c>
      <c r="C121" t="s">
        <v>16</v>
      </c>
      <c r="D121" s="12">
        <v>0.85</v>
      </c>
    </row>
    <row r="122" spans="1:4">
      <c r="A122" t="s">
        <v>155</v>
      </c>
      <c r="B122">
        <v>121</v>
      </c>
      <c r="C122" t="s">
        <v>18</v>
      </c>
      <c r="D122" s="12">
        <v>0.85</v>
      </c>
    </row>
    <row r="123" spans="1:4">
      <c r="A123" t="s">
        <v>156</v>
      </c>
      <c r="B123">
        <v>122</v>
      </c>
      <c r="C123" t="s">
        <v>18</v>
      </c>
      <c r="D123" s="12">
        <v>0.85</v>
      </c>
    </row>
    <row r="124" spans="1:4">
      <c r="A124" t="s">
        <v>157</v>
      </c>
      <c r="B124">
        <v>123</v>
      </c>
      <c r="C124" t="s">
        <v>18</v>
      </c>
      <c r="D124" s="12">
        <v>0.85</v>
      </c>
    </row>
    <row r="125" spans="1:4">
      <c r="A125" t="s">
        <v>158</v>
      </c>
      <c r="B125">
        <v>124</v>
      </c>
      <c r="C125" t="s">
        <v>18</v>
      </c>
      <c r="D125" s="12">
        <v>0.85</v>
      </c>
    </row>
    <row r="126" spans="1:4">
      <c r="A126" t="s">
        <v>159</v>
      </c>
      <c r="B126">
        <v>125</v>
      </c>
      <c r="C126" t="s">
        <v>18</v>
      </c>
      <c r="D126" s="12">
        <v>0.85</v>
      </c>
    </row>
    <row r="127" spans="1:4">
      <c r="A127" t="s">
        <v>160</v>
      </c>
      <c r="B127">
        <v>126</v>
      </c>
      <c r="C127" t="s">
        <v>18</v>
      </c>
      <c r="D127" s="12">
        <v>0.85</v>
      </c>
    </row>
    <row r="128" spans="1:4">
      <c r="A128" t="s">
        <v>161</v>
      </c>
      <c r="B128">
        <v>127</v>
      </c>
      <c r="C128" t="s">
        <v>18</v>
      </c>
      <c r="D128" s="12">
        <v>0.85</v>
      </c>
    </row>
    <row r="129" spans="1:4">
      <c r="A129" t="s">
        <v>162</v>
      </c>
      <c r="B129">
        <v>128</v>
      </c>
      <c r="C129" t="s">
        <v>18</v>
      </c>
      <c r="D129" s="12">
        <v>0.85</v>
      </c>
    </row>
    <row r="130" spans="1:4">
      <c r="A130" t="s">
        <v>163</v>
      </c>
      <c r="B130">
        <v>129</v>
      </c>
      <c r="C130" t="s">
        <v>18</v>
      </c>
      <c r="D130" s="12">
        <v>0.85</v>
      </c>
    </row>
    <row r="131" spans="1:4">
      <c r="A131" t="s">
        <v>164</v>
      </c>
      <c r="B131">
        <v>130</v>
      </c>
      <c r="C131" t="s">
        <v>18</v>
      </c>
      <c r="D131" s="12">
        <v>0.85</v>
      </c>
    </row>
    <row r="132" spans="1:4">
      <c r="A132" t="s">
        <v>165</v>
      </c>
      <c r="B132">
        <v>131</v>
      </c>
      <c r="C132" t="s">
        <v>18</v>
      </c>
      <c r="D132" s="12">
        <v>0.85</v>
      </c>
    </row>
    <row r="133" spans="1:4">
      <c r="A133" t="s">
        <v>166</v>
      </c>
      <c r="B133">
        <v>132</v>
      </c>
      <c r="C133" t="s">
        <v>18</v>
      </c>
      <c r="D133" s="12">
        <v>0.85</v>
      </c>
    </row>
    <row r="134" spans="1:4">
      <c r="A134" t="s">
        <v>167</v>
      </c>
      <c r="B134">
        <v>133</v>
      </c>
      <c r="C134" t="s">
        <v>18</v>
      </c>
      <c r="D134" s="12">
        <v>0.85</v>
      </c>
    </row>
    <row r="135" spans="1:4">
      <c r="A135" t="s">
        <v>168</v>
      </c>
      <c r="B135">
        <v>134</v>
      </c>
      <c r="C135" t="s">
        <v>18</v>
      </c>
      <c r="D135" s="12">
        <v>0.85</v>
      </c>
    </row>
    <row r="136" spans="1:4">
      <c r="A136" t="s">
        <v>169</v>
      </c>
      <c r="B136">
        <v>135</v>
      </c>
      <c r="C136" t="s">
        <v>18</v>
      </c>
      <c r="D136" s="12">
        <v>0.85</v>
      </c>
    </row>
    <row r="137" spans="1:4">
      <c r="A137" t="s">
        <v>170</v>
      </c>
      <c r="B137">
        <v>136</v>
      </c>
      <c r="C137" t="s">
        <v>18</v>
      </c>
      <c r="D137" s="12">
        <v>0.85</v>
      </c>
    </row>
    <row r="138" spans="1:4">
      <c r="A138" t="s">
        <v>171</v>
      </c>
      <c r="B138">
        <v>137</v>
      </c>
      <c r="C138" t="s">
        <v>18</v>
      </c>
      <c r="D138" s="12">
        <v>0.85</v>
      </c>
    </row>
    <row r="139" spans="1:4">
      <c r="A139" t="s">
        <v>172</v>
      </c>
      <c r="B139">
        <v>138</v>
      </c>
      <c r="C139" t="s">
        <v>18</v>
      </c>
      <c r="D139" s="12">
        <v>0.85</v>
      </c>
    </row>
    <row r="140" spans="1:4">
      <c r="A140" t="s">
        <v>173</v>
      </c>
      <c r="B140">
        <v>139</v>
      </c>
      <c r="C140" t="s">
        <v>18</v>
      </c>
      <c r="D140" s="12">
        <v>0.85</v>
      </c>
    </row>
    <row r="141" spans="1:4">
      <c r="A141" t="s">
        <v>174</v>
      </c>
      <c r="B141">
        <v>140</v>
      </c>
      <c r="C141" t="s">
        <v>18</v>
      </c>
      <c r="D141" s="12">
        <v>0.85</v>
      </c>
    </row>
    <row r="142" spans="1:4">
      <c r="A142" t="s">
        <v>175</v>
      </c>
      <c r="B142">
        <v>141</v>
      </c>
      <c r="C142" t="s">
        <v>18</v>
      </c>
      <c r="D142" s="12">
        <v>0.85</v>
      </c>
    </row>
    <row r="143" spans="1:4">
      <c r="A143" t="s">
        <v>176</v>
      </c>
      <c r="B143">
        <v>142</v>
      </c>
      <c r="C143" t="s">
        <v>18</v>
      </c>
      <c r="D143" s="12">
        <v>0.85</v>
      </c>
    </row>
    <row r="144" spans="1:4">
      <c r="A144" t="s">
        <v>177</v>
      </c>
      <c r="B144">
        <v>143</v>
      </c>
      <c r="C144" t="s">
        <v>18</v>
      </c>
      <c r="D144" s="12">
        <v>0.85</v>
      </c>
    </row>
    <row r="145" spans="1:4">
      <c r="A145" t="s">
        <v>178</v>
      </c>
      <c r="B145">
        <v>144</v>
      </c>
      <c r="C145" t="s">
        <v>18</v>
      </c>
      <c r="D145" s="12">
        <v>0.85</v>
      </c>
    </row>
    <row r="146" spans="1:4">
      <c r="A146" t="s">
        <v>179</v>
      </c>
      <c r="B146">
        <v>145</v>
      </c>
      <c r="C146" t="s">
        <v>18</v>
      </c>
      <c r="D146" s="12">
        <v>0.85</v>
      </c>
    </row>
    <row r="147" spans="1:4">
      <c r="A147" t="s">
        <v>180</v>
      </c>
      <c r="B147">
        <v>146</v>
      </c>
      <c r="C147" t="s">
        <v>18</v>
      </c>
      <c r="D147" s="12">
        <v>0.85</v>
      </c>
    </row>
    <row r="148" spans="1:4">
      <c r="A148" t="s">
        <v>181</v>
      </c>
      <c r="B148">
        <v>147</v>
      </c>
      <c r="C148" t="s">
        <v>18</v>
      </c>
      <c r="D148" s="12">
        <v>0.85</v>
      </c>
    </row>
    <row r="149" spans="1:4">
      <c r="A149" t="s">
        <v>182</v>
      </c>
      <c r="B149">
        <v>148</v>
      </c>
      <c r="C149" t="s">
        <v>18</v>
      </c>
      <c r="D149" s="12">
        <v>0.85</v>
      </c>
    </row>
    <row r="150" spans="1:4">
      <c r="A150" t="s">
        <v>183</v>
      </c>
      <c r="B150">
        <v>149</v>
      </c>
      <c r="C150" t="s">
        <v>18</v>
      </c>
      <c r="D150" s="12">
        <v>0.85</v>
      </c>
    </row>
    <row r="151" spans="1:4">
      <c r="A151" t="s">
        <v>184</v>
      </c>
      <c r="B151">
        <v>150</v>
      </c>
      <c r="C151" t="s">
        <v>18</v>
      </c>
      <c r="D151" s="12">
        <v>0.85</v>
      </c>
    </row>
    <row r="152" spans="1:4">
      <c r="A152" t="s">
        <v>185</v>
      </c>
      <c r="B152">
        <v>151</v>
      </c>
      <c r="C152" t="s">
        <v>18</v>
      </c>
      <c r="D152" s="12">
        <v>0.85</v>
      </c>
    </row>
    <row r="153" spans="1:4">
      <c r="A153" t="s">
        <v>186</v>
      </c>
      <c r="B153">
        <v>152</v>
      </c>
      <c r="C153" t="s">
        <v>20</v>
      </c>
      <c r="D153" s="12">
        <v>0.85</v>
      </c>
    </row>
    <row r="154" spans="1:4">
      <c r="A154" t="s">
        <v>187</v>
      </c>
      <c r="B154">
        <v>153</v>
      </c>
      <c r="C154" t="s">
        <v>20</v>
      </c>
      <c r="D154" s="12">
        <v>0.85</v>
      </c>
    </row>
    <row r="155" spans="1:4">
      <c r="A155" t="s">
        <v>188</v>
      </c>
      <c r="B155">
        <v>154</v>
      </c>
      <c r="C155" t="s">
        <v>20</v>
      </c>
      <c r="D155" s="12">
        <v>0.85</v>
      </c>
    </row>
    <row r="156" spans="1:4">
      <c r="A156" t="s">
        <v>189</v>
      </c>
      <c r="B156">
        <v>155</v>
      </c>
      <c r="C156" t="s">
        <v>20</v>
      </c>
      <c r="D156" s="12">
        <v>0.85</v>
      </c>
    </row>
    <row r="157" spans="1:4">
      <c r="A157" t="s">
        <v>190</v>
      </c>
      <c r="B157">
        <v>156</v>
      </c>
      <c r="C157" t="s">
        <v>20</v>
      </c>
      <c r="D157" s="12">
        <v>0.85</v>
      </c>
    </row>
    <row r="158" spans="1:4">
      <c r="A158" t="s">
        <v>191</v>
      </c>
      <c r="B158">
        <v>157</v>
      </c>
      <c r="C158" t="s">
        <v>20</v>
      </c>
      <c r="D158" s="12">
        <v>0.85</v>
      </c>
    </row>
    <row r="159" spans="1:4">
      <c r="A159" t="s">
        <v>192</v>
      </c>
      <c r="B159">
        <v>158</v>
      </c>
      <c r="C159" t="s">
        <v>20</v>
      </c>
      <c r="D159" s="12">
        <v>0.85</v>
      </c>
    </row>
    <row r="160" spans="1:4">
      <c r="A160" t="s">
        <v>193</v>
      </c>
      <c r="B160">
        <v>159</v>
      </c>
      <c r="C160" t="s">
        <v>20</v>
      </c>
      <c r="D160" s="12">
        <v>0.85</v>
      </c>
    </row>
    <row r="161" spans="1:4">
      <c r="A161" t="s">
        <v>194</v>
      </c>
      <c r="B161">
        <v>160</v>
      </c>
      <c r="C161" t="s">
        <v>20</v>
      </c>
      <c r="D161" s="12">
        <v>0.85</v>
      </c>
    </row>
    <row r="162" spans="1:4">
      <c r="A162" t="s">
        <v>195</v>
      </c>
      <c r="B162">
        <v>161</v>
      </c>
      <c r="C162" t="s">
        <v>20</v>
      </c>
      <c r="D162" s="12">
        <v>0.85</v>
      </c>
    </row>
    <row r="163" spans="1:4">
      <c r="A163" t="s">
        <v>196</v>
      </c>
      <c r="B163">
        <v>162</v>
      </c>
      <c r="C163" t="s">
        <v>20</v>
      </c>
      <c r="D163" s="12">
        <v>0.85</v>
      </c>
    </row>
    <row r="164" spans="1:4">
      <c r="A164" t="s">
        <v>197</v>
      </c>
      <c r="B164">
        <v>163</v>
      </c>
      <c r="C164" t="s">
        <v>20</v>
      </c>
      <c r="D164" s="12">
        <v>0.85</v>
      </c>
    </row>
    <row r="165" spans="1:4">
      <c r="A165" t="s">
        <v>198</v>
      </c>
      <c r="B165">
        <v>164</v>
      </c>
      <c r="C165" t="s">
        <v>20</v>
      </c>
      <c r="D165" s="12">
        <v>0.85</v>
      </c>
    </row>
    <row r="166" spans="1:4">
      <c r="A166" t="s">
        <v>199</v>
      </c>
      <c r="B166">
        <v>165</v>
      </c>
      <c r="C166" t="s">
        <v>20</v>
      </c>
      <c r="D166" s="12">
        <v>0.85</v>
      </c>
    </row>
    <row r="167" spans="1:4">
      <c r="A167" t="s">
        <v>200</v>
      </c>
      <c r="B167">
        <v>166</v>
      </c>
      <c r="C167" t="s">
        <v>20</v>
      </c>
      <c r="D167" s="12">
        <v>0.85</v>
      </c>
    </row>
    <row r="168" spans="1:4">
      <c r="A168" t="s">
        <v>201</v>
      </c>
      <c r="B168">
        <v>167</v>
      </c>
      <c r="C168" t="s">
        <v>20</v>
      </c>
      <c r="D168" s="12">
        <v>0.85</v>
      </c>
    </row>
    <row r="169" spans="1:4">
      <c r="A169" t="s">
        <v>202</v>
      </c>
      <c r="B169">
        <v>168</v>
      </c>
      <c r="C169" t="s">
        <v>20</v>
      </c>
      <c r="D169" s="12">
        <v>0.85</v>
      </c>
    </row>
    <row r="170" spans="1:4">
      <c r="A170" t="s">
        <v>203</v>
      </c>
      <c r="B170">
        <v>169</v>
      </c>
      <c r="C170" t="s">
        <v>20</v>
      </c>
      <c r="D170" s="12">
        <v>0.85</v>
      </c>
    </row>
    <row r="171" spans="1:4">
      <c r="A171" t="s">
        <v>204</v>
      </c>
      <c r="B171">
        <v>170</v>
      </c>
      <c r="C171" t="s">
        <v>20</v>
      </c>
      <c r="D171" s="12">
        <v>0.85</v>
      </c>
    </row>
    <row r="172" spans="1:4">
      <c r="A172" t="s">
        <v>205</v>
      </c>
      <c r="B172">
        <v>171</v>
      </c>
      <c r="C172" t="s">
        <v>20</v>
      </c>
      <c r="D172" s="12">
        <v>0.85</v>
      </c>
    </row>
    <row r="173" spans="1:4">
      <c r="A173" t="s">
        <v>206</v>
      </c>
      <c r="B173">
        <v>172</v>
      </c>
      <c r="C173" t="s">
        <v>20</v>
      </c>
      <c r="D173" s="12">
        <v>0.85</v>
      </c>
    </row>
    <row r="174" spans="1:4">
      <c r="A174" t="s">
        <v>207</v>
      </c>
      <c r="B174">
        <v>173</v>
      </c>
      <c r="C174" t="s">
        <v>20</v>
      </c>
      <c r="D174" s="12">
        <v>0.85</v>
      </c>
    </row>
    <row r="175" spans="1:4">
      <c r="A175" t="s">
        <v>208</v>
      </c>
      <c r="B175">
        <v>174</v>
      </c>
      <c r="C175" t="s">
        <v>20</v>
      </c>
      <c r="D175" s="12">
        <v>0.85</v>
      </c>
    </row>
    <row r="176" spans="1:4">
      <c r="A176" t="s">
        <v>209</v>
      </c>
      <c r="B176">
        <v>175</v>
      </c>
      <c r="C176" t="s">
        <v>20</v>
      </c>
      <c r="D176" s="12">
        <v>0.85</v>
      </c>
    </row>
    <row r="177" spans="1:4">
      <c r="A177" t="s">
        <v>210</v>
      </c>
      <c r="B177">
        <v>176</v>
      </c>
      <c r="C177" t="s">
        <v>20</v>
      </c>
      <c r="D177" s="12">
        <v>0.85</v>
      </c>
    </row>
    <row r="178" spans="1:4">
      <c r="A178" t="s">
        <v>211</v>
      </c>
      <c r="B178">
        <v>177</v>
      </c>
      <c r="C178" t="s">
        <v>20</v>
      </c>
      <c r="D178" s="12">
        <v>0.85</v>
      </c>
    </row>
    <row r="179" spans="1:4">
      <c r="A179" t="s">
        <v>212</v>
      </c>
      <c r="B179">
        <v>178</v>
      </c>
      <c r="C179" t="s">
        <v>20</v>
      </c>
      <c r="D179" s="12">
        <v>0.85</v>
      </c>
    </row>
    <row r="180" spans="1:4">
      <c r="A180" t="s">
        <v>213</v>
      </c>
      <c r="B180">
        <v>179</v>
      </c>
      <c r="C180" t="s">
        <v>20</v>
      </c>
      <c r="D180" s="12">
        <v>0.85</v>
      </c>
    </row>
    <row r="181" spans="1:4">
      <c r="A181" t="s">
        <v>214</v>
      </c>
      <c r="B181">
        <v>180</v>
      </c>
      <c r="C181" t="s">
        <v>20</v>
      </c>
      <c r="D181" s="12">
        <v>0.85</v>
      </c>
    </row>
    <row r="182" spans="1:4">
      <c r="A182" t="s">
        <v>215</v>
      </c>
      <c r="B182">
        <v>181</v>
      </c>
      <c r="C182" t="s">
        <v>20</v>
      </c>
      <c r="D182" s="12">
        <v>0.85</v>
      </c>
    </row>
    <row r="183" spans="1:4">
      <c r="A183" t="s">
        <v>216</v>
      </c>
      <c r="B183">
        <v>182</v>
      </c>
      <c r="C183" t="s">
        <v>22</v>
      </c>
      <c r="D183" s="12">
        <v>0.85</v>
      </c>
    </row>
    <row r="184" spans="1:4">
      <c r="A184" t="s">
        <v>217</v>
      </c>
      <c r="B184">
        <v>183</v>
      </c>
      <c r="C184" t="s">
        <v>22</v>
      </c>
      <c r="D184" s="12">
        <v>0.85</v>
      </c>
    </row>
    <row r="185" spans="1:4">
      <c r="A185" t="s">
        <v>218</v>
      </c>
      <c r="B185">
        <v>184</v>
      </c>
      <c r="C185" t="s">
        <v>22</v>
      </c>
      <c r="D185" s="12">
        <v>0.85</v>
      </c>
    </row>
    <row r="186" spans="1:4">
      <c r="A186" t="s">
        <v>219</v>
      </c>
      <c r="B186">
        <v>185</v>
      </c>
      <c r="C186" t="s">
        <v>22</v>
      </c>
      <c r="D186" s="12">
        <v>0.85</v>
      </c>
    </row>
    <row r="187" spans="1:4">
      <c r="A187" t="s">
        <v>220</v>
      </c>
      <c r="B187">
        <v>186</v>
      </c>
      <c r="C187" t="s">
        <v>22</v>
      </c>
      <c r="D187" s="12">
        <v>0.85</v>
      </c>
    </row>
    <row r="188" spans="1:4">
      <c r="A188" t="s">
        <v>221</v>
      </c>
      <c r="B188">
        <v>187</v>
      </c>
      <c r="C188" t="s">
        <v>22</v>
      </c>
      <c r="D188" s="12">
        <v>0.85</v>
      </c>
    </row>
    <row r="189" spans="1:4">
      <c r="A189" t="s">
        <v>222</v>
      </c>
      <c r="B189">
        <v>188</v>
      </c>
      <c r="C189" t="s">
        <v>22</v>
      </c>
      <c r="D189" s="12">
        <v>0.85</v>
      </c>
    </row>
    <row r="190" spans="1:4">
      <c r="A190" t="s">
        <v>223</v>
      </c>
      <c r="B190">
        <v>189</v>
      </c>
      <c r="C190" t="s">
        <v>22</v>
      </c>
      <c r="D190" s="12">
        <v>0.85</v>
      </c>
    </row>
    <row r="191" spans="1:4">
      <c r="A191" t="s">
        <v>224</v>
      </c>
      <c r="B191">
        <v>190</v>
      </c>
      <c r="C191" t="s">
        <v>22</v>
      </c>
      <c r="D191" s="12">
        <v>0.85</v>
      </c>
    </row>
    <row r="192" spans="1:4">
      <c r="A192" t="s">
        <v>225</v>
      </c>
      <c r="B192">
        <v>191</v>
      </c>
      <c r="C192" t="s">
        <v>22</v>
      </c>
      <c r="D192" s="12">
        <v>0.85</v>
      </c>
    </row>
    <row r="193" spans="1:4">
      <c r="A193" t="s">
        <v>226</v>
      </c>
      <c r="B193">
        <v>192</v>
      </c>
      <c r="C193" t="s">
        <v>22</v>
      </c>
      <c r="D193" s="12">
        <v>0.85</v>
      </c>
    </row>
    <row r="194" spans="1:4">
      <c r="A194" t="s">
        <v>227</v>
      </c>
      <c r="B194">
        <v>193</v>
      </c>
      <c r="C194" t="s">
        <v>22</v>
      </c>
      <c r="D194" s="12">
        <v>0.85</v>
      </c>
    </row>
    <row r="195" spans="1:4">
      <c r="A195" t="s">
        <v>228</v>
      </c>
      <c r="B195">
        <v>194</v>
      </c>
      <c r="C195" t="s">
        <v>22</v>
      </c>
      <c r="D195" s="12">
        <v>0.85</v>
      </c>
    </row>
    <row r="196" spans="1:4">
      <c r="A196" t="s">
        <v>229</v>
      </c>
      <c r="B196">
        <v>195</v>
      </c>
      <c r="C196" t="s">
        <v>22</v>
      </c>
      <c r="D196" s="12">
        <v>0.85</v>
      </c>
    </row>
    <row r="197" spans="1:4">
      <c r="A197" t="s">
        <v>230</v>
      </c>
      <c r="B197">
        <v>196</v>
      </c>
      <c r="C197" t="s">
        <v>22</v>
      </c>
      <c r="D197" s="12">
        <v>0.85</v>
      </c>
    </row>
    <row r="198" spans="1:4">
      <c r="A198" t="s">
        <v>231</v>
      </c>
      <c r="B198">
        <v>197</v>
      </c>
      <c r="C198" t="s">
        <v>22</v>
      </c>
      <c r="D198" s="12">
        <v>0.85</v>
      </c>
    </row>
    <row r="199" spans="1:4">
      <c r="A199" t="s">
        <v>232</v>
      </c>
      <c r="B199">
        <v>198</v>
      </c>
      <c r="C199" t="s">
        <v>22</v>
      </c>
      <c r="D199" s="12">
        <v>0.85</v>
      </c>
    </row>
    <row r="200" spans="1:4">
      <c r="A200" t="s">
        <v>233</v>
      </c>
      <c r="B200">
        <v>199</v>
      </c>
      <c r="C200" t="s">
        <v>22</v>
      </c>
      <c r="D200" s="12">
        <v>0.85</v>
      </c>
    </row>
    <row r="201" spans="1:4">
      <c r="A201" t="s">
        <v>234</v>
      </c>
      <c r="B201">
        <v>200</v>
      </c>
      <c r="C201" t="s">
        <v>22</v>
      </c>
      <c r="D201" s="12">
        <v>0.85</v>
      </c>
    </row>
    <row r="202" spans="1:4">
      <c r="A202" t="s">
        <v>235</v>
      </c>
      <c r="B202">
        <v>201</v>
      </c>
      <c r="C202" t="s">
        <v>22</v>
      </c>
      <c r="D202" s="12">
        <v>0.85</v>
      </c>
    </row>
    <row r="203" spans="1:4">
      <c r="A203" t="s">
        <v>236</v>
      </c>
      <c r="B203">
        <v>202</v>
      </c>
      <c r="C203" t="s">
        <v>22</v>
      </c>
      <c r="D203" s="12">
        <v>0.85</v>
      </c>
    </row>
    <row r="204" spans="1:4">
      <c r="A204" t="s">
        <v>237</v>
      </c>
      <c r="B204">
        <v>203</v>
      </c>
      <c r="C204" t="s">
        <v>22</v>
      </c>
      <c r="D204" s="12">
        <v>0.85</v>
      </c>
    </row>
    <row r="205" spans="1:4">
      <c r="A205" t="s">
        <v>238</v>
      </c>
      <c r="B205">
        <v>204</v>
      </c>
      <c r="C205" t="s">
        <v>22</v>
      </c>
      <c r="D205" s="12">
        <v>0.85</v>
      </c>
    </row>
    <row r="206" spans="1:4">
      <c r="A206" t="s">
        <v>239</v>
      </c>
      <c r="B206">
        <v>205</v>
      </c>
      <c r="C206" t="s">
        <v>22</v>
      </c>
      <c r="D206" s="12">
        <v>0.85</v>
      </c>
    </row>
    <row r="207" spans="1:4">
      <c r="A207" t="s">
        <v>240</v>
      </c>
      <c r="B207">
        <v>206</v>
      </c>
      <c r="C207" t="s">
        <v>22</v>
      </c>
      <c r="D207" s="12">
        <v>0.85</v>
      </c>
    </row>
    <row r="208" spans="1:4">
      <c r="A208" t="s">
        <v>241</v>
      </c>
      <c r="B208">
        <v>207</v>
      </c>
      <c r="C208" t="s">
        <v>22</v>
      </c>
      <c r="D208" s="12">
        <v>0.85</v>
      </c>
    </row>
    <row r="209" spans="1:4">
      <c r="A209" t="s">
        <v>242</v>
      </c>
      <c r="B209">
        <v>208</v>
      </c>
      <c r="C209" t="s">
        <v>22</v>
      </c>
      <c r="D209" s="12">
        <v>0.85</v>
      </c>
    </row>
    <row r="210" spans="1:4">
      <c r="A210" t="s">
        <v>243</v>
      </c>
      <c r="B210">
        <v>209</v>
      </c>
      <c r="C210" t="s">
        <v>22</v>
      </c>
      <c r="D210" s="12">
        <v>0.85</v>
      </c>
    </row>
    <row r="211" spans="1:4">
      <c r="A211" t="s">
        <v>244</v>
      </c>
      <c r="B211">
        <v>210</v>
      </c>
      <c r="C211" t="s">
        <v>22</v>
      </c>
      <c r="D211" s="12">
        <v>0.85</v>
      </c>
    </row>
    <row r="212" spans="1:4">
      <c r="A212" t="s">
        <v>245</v>
      </c>
      <c r="B212">
        <v>211</v>
      </c>
      <c r="C212" t="s">
        <v>22</v>
      </c>
      <c r="D212" s="12">
        <v>0.85</v>
      </c>
    </row>
    <row r="213" spans="1:4">
      <c r="A213" t="s">
        <v>246</v>
      </c>
      <c r="B213">
        <v>212</v>
      </c>
      <c r="C213" t="s">
        <v>22</v>
      </c>
      <c r="D213" s="12">
        <v>0.85</v>
      </c>
    </row>
    <row r="214" spans="1:4">
      <c r="A214" t="s">
        <v>247</v>
      </c>
      <c r="B214">
        <v>213</v>
      </c>
      <c r="C214" t="s">
        <v>23</v>
      </c>
      <c r="D214" s="12">
        <v>0.85</v>
      </c>
    </row>
    <row r="215" spans="1:4">
      <c r="A215" t="s">
        <v>248</v>
      </c>
      <c r="B215">
        <v>214</v>
      </c>
      <c r="C215" t="s">
        <v>23</v>
      </c>
      <c r="D215" s="12">
        <v>0.85</v>
      </c>
    </row>
    <row r="216" spans="1:4">
      <c r="A216" t="s">
        <v>249</v>
      </c>
      <c r="B216">
        <v>215</v>
      </c>
      <c r="C216" t="s">
        <v>23</v>
      </c>
      <c r="D216" s="12">
        <v>0.85</v>
      </c>
    </row>
    <row r="217" spans="1:4">
      <c r="A217" t="s">
        <v>250</v>
      </c>
      <c r="B217">
        <v>216</v>
      </c>
      <c r="C217" t="s">
        <v>23</v>
      </c>
      <c r="D217" s="12">
        <v>0.85</v>
      </c>
    </row>
    <row r="218" spans="1:4">
      <c r="A218" t="s">
        <v>251</v>
      </c>
      <c r="B218">
        <v>217</v>
      </c>
      <c r="C218" t="s">
        <v>23</v>
      </c>
      <c r="D218" s="12">
        <v>0.85</v>
      </c>
    </row>
    <row r="219" spans="1:4">
      <c r="A219" t="s">
        <v>252</v>
      </c>
      <c r="B219">
        <v>218</v>
      </c>
      <c r="C219" t="s">
        <v>23</v>
      </c>
      <c r="D219" s="12">
        <v>0.85</v>
      </c>
    </row>
    <row r="220" spans="1:4">
      <c r="A220" t="s">
        <v>253</v>
      </c>
      <c r="B220">
        <v>219</v>
      </c>
      <c r="C220" t="s">
        <v>23</v>
      </c>
      <c r="D220" s="12">
        <v>0.85</v>
      </c>
    </row>
    <row r="221" spans="1:4">
      <c r="A221" t="s">
        <v>254</v>
      </c>
      <c r="B221">
        <v>220</v>
      </c>
      <c r="C221" t="s">
        <v>23</v>
      </c>
      <c r="D221" s="12">
        <v>0.85</v>
      </c>
    </row>
    <row r="222" spans="1:4">
      <c r="A222" t="s">
        <v>255</v>
      </c>
      <c r="B222">
        <v>221</v>
      </c>
      <c r="C222" t="s">
        <v>23</v>
      </c>
      <c r="D222" s="12">
        <v>0.85</v>
      </c>
    </row>
    <row r="223" spans="1:4">
      <c r="A223" t="s">
        <v>256</v>
      </c>
      <c r="B223">
        <v>222</v>
      </c>
      <c r="C223" t="s">
        <v>23</v>
      </c>
      <c r="D223" s="12">
        <v>0.85</v>
      </c>
    </row>
    <row r="224" spans="1:4">
      <c r="A224" t="s">
        <v>257</v>
      </c>
      <c r="B224">
        <v>223</v>
      </c>
      <c r="C224" t="s">
        <v>23</v>
      </c>
      <c r="D224" s="12">
        <v>0.85</v>
      </c>
    </row>
    <row r="225" spans="1:4">
      <c r="A225" t="s">
        <v>258</v>
      </c>
      <c r="B225">
        <v>224</v>
      </c>
      <c r="C225" t="s">
        <v>23</v>
      </c>
      <c r="D225" s="12">
        <v>0.85</v>
      </c>
    </row>
    <row r="226" spans="1:4">
      <c r="A226" t="s">
        <v>259</v>
      </c>
      <c r="B226">
        <v>225</v>
      </c>
      <c r="C226" t="s">
        <v>23</v>
      </c>
      <c r="D226" s="12">
        <v>0.85</v>
      </c>
    </row>
    <row r="227" spans="1:4">
      <c r="A227" t="s">
        <v>260</v>
      </c>
      <c r="B227">
        <v>226</v>
      </c>
      <c r="C227" t="s">
        <v>23</v>
      </c>
      <c r="D227" s="12">
        <v>0.85</v>
      </c>
    </row>
    <row r="228" spans="1:4">
      <c r="A228" t="s">
        <v>261</v>
      </c>
      <c r="B228">
        <v>227</v>
      </c>
      <c r="C228" t="s">
        <v>23</v>
      </c>
      <c r="D228" s="12">
        <v>0.85</v>
      </c>
    </row>
    <row r="229" spans="1:4">
      <c r="A229" t="s">
        <v>262</v>
      </c>
      <c r="B229">
        <v>228</v>
      </c>
      <c r="C229" t="s">
        <v>23</v>
      </c>
      <c r="D229" s="12">
        <v>0.85</v>
      </c>
    </row>
    <row r="230" spans="1:4">
      <c r="A230" t="s">
        <v>263</v>
      </c>
      <c r="B230">
        <v>229</v>
      </c>
      <c r="C230" t="s">
        <v>23</v>
      </c>
      <c r="D230" s="12">
        <v>0.85</v>
      </c>
    </row>
    <row r="231" spans="1:4">
      <c r="A231" t="s">
        <v>264</v>
      </c>
      <c r="B231">
        <v>230</v>
      </c>
      <c r="C231" t="s">
        <v>23</v>
      </c>
      <c r="D231" s="12">
        <v>0.85</v>
      </c>
    </row>
    <row r="232" spans="1:4">
      <c r="A232" t="s">
        <v>265</v>
      </c>
      <c r="B232">
        <v>231</v>
      </c>
      <c r="C232" t="s">
        <v>23</v>
      </c>
      <c r="D232" s="12">
        <v>0.85</v>
      </c>
    </row>
    <row r="233" spans="1:4">
      <c r="A233" t="s">
        <v>266</v>
      </c>
      <c r="B233">
        <v>232</v>
      </c>
      <c r="C233" t="s">
        <v>23</v>
      </c>
      <c r="D233" s="12">
        <v>0.85</v>
      </c>
    </row>
    <row r="234" spans="1:4">
      <c r="A234" t="s">
        <v>267</v>
      </c>
      <c r="B234">
        <v>233</v>
      </c>
      <c r="C234" t="s">
        <v>23</v>
      </c>
      <c r="D234" s="12">
        <v>0.85</v>
      </c>
    </row>
    <row r="235" spans="1:4">
      <c r="A235" t="s">
        <v>268</v>
      </c>
      <c r="B235">
        <v>234</v>
      </c>
      <c r="C235" t="s">
        <v>23</v>
      </c>
      <c r="D235" s="12">
        <v>0.85</v>
      </c>
    </row>
    <row r="236" spans="1:4">
      <c r="A236" t="s">
        <v>269</v>
      </c>
      <c r="B236">
        <v>235</v>
      </c>
      <c r="C236" t="s">
        <v>23</v>
      </c>
      <c r="D236" s="12">
        <v>0.85</v>
      </c>
    </row>
    <row r="237" spans="1:4">
      <c r="A237" t="s">
        <v>270</v>
      </c>
      <c r="B237">
        <v>236</v>
      </c>
      <c r="C237" t="s">
        <v>23</v>
      </c>
      <c r="D237" s="12">
        <v>0.85</v>
      </c>
    </row>
    <row r="238" spans="1:4">
      <c r="A238" t="s">
        <v>271</v>
      </c>
      <c r="B238">
        <v>237</v>
      </c>
      <c r="C238" t="s">
        <v>23</v>
      </c>
      <c r="D238" s="12">
        <v>0.85</v>
      </c>
    </row>
    <row r="239" spans="1:4">
      <c r="A239" t="s">
        <v>272</v>
      </c>
      <c r="B239">
        <v>238</v>
      </c>
      <c r="C239" t="s">
        <v>23</v>
      </c>
      <c r="D239" s="12">
        <v>0.85</v>
      </c>
    </row>
    <row r="240" spans="1:4">
      <c r="A240" t="s">
        <v>273</v>
      </c>
      <c r="B240">
        <v>239</v>
      </c>
      <c r="C240" t="s">
        <v>23</v>
      </c>
      <c r="D240" s="12">
        <v>0.85</v>
      </c>
    </row>
    <row r="241" spans="1:4">
      <c r="A241" t="s">
        <v>274</v>
      </c>
      <c r="B241">
        <v>240</v>
      </c>
      <c r="C241" t="s">
        <v>23</v>
      </c>
      <c r="D241" s="12">
        <v>0.85</v>
      </c>
    </row>
    <row r="242" spans="1:4">
      <c r="A242" t="s">
        <v>275</v>
      </c>
      <c r="B242">
        <v>241</v>
      </c>
      <c r="C242" t="s">
        <v>23</v>
      </c>
      <c r="D242" s="12">
        <v>0.85</v>
      </c>
    </row>
    <row r="243" spans="1:4">
      <c r="A243" t="s">
        <v>276</v>
      </c>
      <c r="B243">
        <v>242</v>
      </c>
      <c r="C243" t="s">
        <v>23</v>
      </c>
      <c r="D243" s="12">
        <v>0.85</v>
      </c>
    </row>
    <row r="244" spans="1:4">
      <c r="A244" t="s">
        <v>277</v>
      </c>
      <c r="B244">
        <v>243</v>
      </c>
      <c r="C244" t="s">
        <v>23</v>
      </c>
      <c r="D244" s="12">
        <v>0.85</v>
      </c>
    </row>
    <row r="245" spans="1:4">
      <c r="A245" t="s">
        <v>278</v>
      </c>
      <c r="B245">
        <v>244</v>
      </c>
      <c r="C245" t="s">
        <v>24</v>
      </c>
      <c r="D245" s="12">
        <v>0.85</v>
      </c>
    </row>
    <row r="246" spans="1:4">
      <c r="A246" t="s">
        <v>279</v>
      </c>
      <c r="B246">
        <v>245</v>
      </c>
      <c r="C246" t="s">
        <v>24</v>
      </c>
      <c r="D246" s="12">
        <v>0.85</v>
      </c>
    </row>
    <row r="247" spans="1:4">
      <c r="A247" t="s">
        <v>280</v>
      </c>
      <c r="B247">
        <v>246</v>
      </c>
      <c r="C247" t="s">
        <v>24</v>
      </c>
      <c r="D247" s="12">
        <v>0.85</v>
      </c>
    </row>
    <row r="248" spans="1:4">
      <c r="A248" t="s">
        <v>281</v>
      </c>
      <c r="B248">
        <v>247</v>
      </c>
      <c r="C248" t="s">
        <v>24</v>
      </c>
      <c r="D248" s="12">
        <v>0.85</v>
      </c>
    </row>
    <row r="249" spans="1:4">
      <c r="A249" t="s">
        <v>282</v>
      </c>
      <c r="B249">
        <v>248</v>
      </c>
      <c r="C249" t="s">
        <v>24</v>
      </c>
      <c r="D249" s="12">
        <v>0.85</v>
      </c>
    </row>
    <row r="250" spans="1:4">
      <c r="A250" t="s">
        <v>283</v>
      </c>
      <c r="B250">
        <v>249</v>
      </c>
      <c r="C250" t="s">
        <v>24</v>
      </c>
      <c r="D250" s="12">
        <v>0.85</v>
      </c>
    </row>
    <row r="251" spans="1:4">
      <c r="A251" t="s">
        <v>284</v>
      </c>
      <c r="B251">
        <v>250</v>
      </c>
      <c r="C251" t="s">
        <v>24</v>
      </c>
      <c r="D251" s="12">
        <v>0.85</v>
      </c>
    </row>
    <row r="252" spans="1:4">
      <c r="A252" t="s">
        <v>285</v>
      </c>
      <c r="B252">
        <v>251</v>
      </c>
      <c r="C252" t="s">
        <v>24</v>
      </c>
      <c r="D252" s="12">
        <v>0.85</v>
      </c>
    </row>
    <row r="253" spans="1:4">
      <c r="A253" t="s">
        <v>286</v>
      </c>
      <c r="B253">
        <v>252</v>
      </c>
      <c r="C253" t="s">
        <v>24</v>
      </c>
      <c r="D253" s="12">
        <v>0.85</v>
      </c>
    </row>
    <row r="254" spans="1:4">
      <c r="A254" t="s">
        <v>287</v>
      </c>
      <c r="B254">
        <v>253</v>
      </c>
      <c r="C254" t="s">
        <v>24</v>
      </c>
      <c r="D254" s="12">
        <v>0.85</v>
      </c>
    </row>
    <row r="255" spans="1:4">
      <c r="A255" t="s">
        <v>288</v>
      </c>
      <c r="B255">
        <v>254</v>
      </c>
      <c r="C255" t="s">
        <v>24</v>
      </c>
      <c r="D255" s="12">
        <v>0.85</v>
      </c>
    </row>
    <row r="256" spans="1:4">
      <c r="A256" t="s">
        <v>289</v>
      </c>
      <c r="B256">
        <v>255</v>
      </c>
      <c r="C256" t="s">
        <v>24</v>
      </c>
      <c r="D256" s="12">
        <v>0.85</v>
      </c>
    </row>
    <row r="257" spans="1:4">
      <c r="A257" t="s">
        <v>290</v>
      </c>
      <c r="B257">
        <v>256</v>
      </c>
      <c r="C257" t="s">
        <v>24</v>
      </c>
      <c r="D257" s="12">
        <v>0.85</v>
      </c>
    </row>
    <row r="258" spans="1:4">
      <c r="A258" t="s">
        <v>291</v>
      </c>
      <c r="B258">
        <v>257</v>
      </c>
      <c r="C258" t="s">
        <v>24</v>
      </c>
      <c r="D258" s="12">
        <v>0.85</v>
      </c>
    </row>
    <row r="259" spans="1:4">
      <c r="A259" t="s">
        <v>292</v>
      </c>
      <c r="B259">
        <v>258</v>
      </c>
      <c r="C259" t="s">
        <v>24</v>
      </c>
      <c r="D259" s="12">
        <v>0.85</v>
      </c>
    </row>
    <row r="260" spans="1:4">
      <c r="A260" t="s">
        <v>293</v>
      </c>
      <c r="B260">
        <v>259</v>
      </c>
      <c r="C260" t="s">
        <v>24</v>
      </c>
      <c r="D260" s="12">
        <v>0.85</v>
      </c>
    </row>
    <row r="261" spans="1:4">
      <c r="A261" t="s">
        <v>294</v>
      </c>
      <c r="B261">
        <v>260</v>
      </c>
      <c r="C261" t="s">
        <v>24</v>
      </c>
      <c r="D261" s="12">
        <v>0.85</v>
      </c>
    </row>
    <row r="262" spans="1:4">
      <c r="A262" t="s">
        <v>295</v>
      </c>
      <c r="B262">
        <v>261</v>
      </c>
      <c r="C262" t="s">
        <v>24</v>
      </c>
      <c r="D262" s="12">
        <v>0.85</v>
      </c>
    </row>
    <row r="263" spans="1:4">
      <c r="A263" t="s">
        <v>296</v>
      </c>
      <c r="B263">
        <v>262</v>
      </c>
      <c r="C263" t="s">
        <v>24</v>
      </c>
      <c r="D263" s="12">
        <v>0.85</v>
      </c>
    </row>
    <row r="264" spans="1:4">
      <c r="A264" t="s">
        <v>297</v>
      </c>
      <c r="B264">
        <v>263</v>
      </c>
      <c r="C264" t="s">
        <v>24</v>
      </c>
      <c r="D264" s="12">
        <v>0.85</v>
      </c>
    </row>
    <row r="265" spans="1:4">
      <c r="A265" t="s">
        <v>298</v>
      </c>
      <c r="B265">
        <v>264</v>
      </c>
      <c r="C265" t="s">
        <v>24</v>
      </c>
      <c r="D265" s="12">
        <v>0.85</v>
      </c>
    </row>
    <row r="266" spans="1:4">
      <c r="A266" t="s">
        <v>299</v>
      </c>
      <c r="B266">
        <v>265</v>
      </c>
      <c r="C266" t="s">
        <v>24</v>
      </c>
      <c r="D266" s="12">
        <v>0.85</v>
      </c>
    </row>
    <row r="267" spans="1:4">
      <c r="A267" t="s">
        <v>300</v>
      </c>
      <c r="B267">
        <v>266</v>
      </c>
      <c r="C267" t="s">
        <v>24</v>
      </c>
      <c r="D267" s="12">
        <v>0.85</v>
      </c>
    </row>
    <row r="268" spans="1:4">
      <c r="A268" t="s">
        <v>301</v>
      </c>
      <c r="B268">
        <v>267</v>
      </c>
      <c r="C268" t="s">
        <v>24</v>
      </c>
      <c r="D268" s="12">
        <v>0.85</v>
      </c>
    </row>
    <row r="269" spans="1:4">
      <c r="A269" t="s">
        <v>302</v>
      </c>
      <c r="B269">
        <v>268</v>
      </c>
      <c r="C269" t="s">
        <v>24</v>
      </c>
      <c r="D269" s="12">
        <v>0.85</v>
      </c>
    </row>
    <row r="270" spans="1:4">
      <c r="A270" t="s">
        <v>303</v>
      </c>
      <c r="B270">
        <v>269</v>
      </c>
      <c r="C270" t="s">
        <v>24</v>
      </c>
      <c r="D270" s="12">
        <v>0.85</v>
      </c>
    </row>
    <row r="271" spans="1:4">
      <c r="A271" t="s">
        <v>304</v>
      </c>
      <c r="B271">
        <v>270</v>
      </c>
      <c r="C271" t="s">
        <v>24</v>
      </c>
      <c r="D271" s="12">
        <v>0.85</v>
      </c>
    </row>
    <row r="272" spans="1:4">
      <c r="A272" t="s">
        <v>305</v>
      </c>
      <c r="B272">
        <v>271</v>
      </c>
      <c r="C272" t="s">
        <v>24</v>
      </c>
      <c r="D272" s="12">
        <v>0.85</v>
      </c>
    </row>
    <row r="273" spans="1:4">
      <c r="A273" t="s">
        <v>306</v>
      </c>
      <c r="B273">
        <v>272</v>
      </c>
      <c r="C273" t="s">
        <v>24</v>
      </c>
      <c r="D273" s="12">
        <v>0.85</v>
      </c>
    </row>
    <row r="274" spans="1:4">
      <c r="A274" t="s">
        <v>307</v>
      </c>
      <c r="B274">
        <v>273</v>
      </c>
      <c r="C274" t="s">
        <v>24</v>
      </c>
      <c r="D274" s="12">
        <v>0.85</v>
      </c>
    </row>
    <row r="275" spans="1:4">
      <c r="A275" t="s">
        <v>308</v>
      </c>
      <c r="B275">
        <v>274</v>
      </c>
      <c r="C275" t="s">
        <v>25</v>
      </c>
      <c r="D275" s="12">
        <v>0.85</v>
      </c>
    </row>
    <row r="276" spans="1:4">
      <c r="A276" t="s">
        <v>309</v>
      </c>
      <c r="B276">
        <v>275</v>
      </c>
      <c r="C276" t="s">
        <v>25</v>
      </c>
      <c r="D276" s="12">
        <v>0.85</v>
      </c>
    </row>
    <row r="277" spans="1:4">
      <c r="A277" t="s">
        <v>310</v>
      </c>
      <c r="B277">
        <v>276</v>
      </c>
      <c r="C277" t="s">
        <v>25</v>
      </c>
      <c r="D277" s="12">
        <v>0.85</v>
      </c>
    </row>
    <row r="278" spans="1:4">
      <c r="A278" t="s">
        <v>311</v>
      </c>
      <c r="B278">
        <v>277</v>
      </c>
      <c r="C278" t="s">
        <v>25</v>
      </c>
      <c r="D278" s="12">
        <v>0.85</v>
      </c>
    </row>
    <row r="279" spans="1:4">
      <c r="A279" t="s">
        <v>312</v>
      </c>
      <c r="B279">
        <v>278</v>
      </c>
      <c r="C279" t="s">
        <v>25</v>
      </c>
      <c r="D279" s="12">
        <v>0.85</v>
      </c>
    </row>
    <row r="280" spans="1:4">
      <c r="A280" t="s">
        <v>313</v>
      </c>
      <c r="B280">
        <v>279</v>
      </c>
      <c r="C280" t="s">
        <v>25</v>
      </c>
      <c r="D280" s="12">
        <v>0.85</v>
      </c>
    </row>
    <row r="281" spans="1:4">
      <c r="A281" t="s">
        <v>314</v>
      </c>
      <c r="B281">
        <v>280</v>
      </c>
      <c r="C281" t="s">
        <v>25</v>
      </c>
      <c r="D281" s="12">
        <v>0.85</v>
      </c>
    </row>
    <row r="282" spans="1:4">
      <c r="A282" t="s">
        <v>315</v>
      </c>
      <c r="B282">
        <v>281</v>
      </c>
      <c r="C282" t="s">
        <v>25</v>
      </c>
      <c r="D282" s="12">
        <v>0.85</v>
      </c>
    </row>
    <row r="283" spans="1:4">
      <c r="A283" t="s">
        <v>316</v>
      </c>
      <c r="B283">
        <v>282</v>
      </c>
      <c r="C283" t="s">
        <v>25</v>
      </c>
      <c r="D283" s="12">
        <v>0.85</v>
      </c>
    </row>
    <row r="284" spans="1:4">
      <c r="A284" t="s">
        <v>317</v>
      </c>
      <c r="B284">
        <v>283</v>
      </c>
      <c r="C284" t="s">
        <v>25</v>
      </c>
      <c r="D284" s="12">
        <v>0.85</v>
      </c>
    </row>
    <row r="285" spans="1:4">
      <c r="A285" t="s">
        <v>318</v>
      </c>
      <c r="B285">
        <v>284</v>
      </c>
      <c r="C285" t="s">
        <v>25</v>
      </c>
      <c r="D285" s="12">
        <v>0.85</v>
      </c>
    </row>
    <row r="286" spans="1:4">
      <c r="A286" t="s">
        <v>319</v>
      </c>
      <c r="B286">
        <v>285</v>
      </c>
      <c r="C286" t="s">
        <v>25</v>
      </c>
      <c r="D286" s="12">
        <v>0.85</v>
      </c>
    </row>
    <row r="287" spans="1:4">
      <c r="A287" t="s">
        <v>320</v>
      </c>
      <c r="B287">
        <v>286</v>
      </c>
      <c r="C287" t="s">
        <v>25</v>
      </c>
      <c r="D287" s="12">
        <v>0.85</v>
      </c>
    </row>
    <row r="288" spans="1:4">
      <c r="A288" t="s">
        <v>321</v>
      </c>
      <c r="B288">
        <v>287</v>
      </c>
      <c r="C288" t="s">
        <v>25</v>
      </c>
      <c r="D288" s="12">
        <v>0.85</v>
      </c>
    </row>
    <row r="289" spans="1:4">
      <c r="A289" t="s">
        <v>322</v>
      </c>
      <c r="B289">
        <v>288</v>
      </c>
      <c r="C289" t="s">
        <v>25</v>
      </c>
      <c r="D289" s="12">
        <v>0.85</v>
      </c>
    </row>
    <row r="290" spans="1:4">
      <c r="A290" t="s">
        <v>323</v>
      </c>
      <c r="B290">
        <v>289</v>
      </c>
      <c r="C290" t="s">
        <v>25</v>
      </c>
      <c r="D290" s="12">
        <v>0.85</v>
      </c>
    </row>
    <row r="291" spans="1:4">
      <c r="A291" t="s">
        <v>324</v>
      </c>
      <c r="B291">
        <v>290</v>
      </c>
      <c r="C291" t="s">
        <v>25</v>
      </c>
      <c r="D291" s="12">
        <v>0.85</v>
      </c>
    </row>
    <row r="292" spans="1:4">
      <c r="A292" t="s">
        <v>325</v>
      </c>
      <c r="B292">
        <v>291</v>
      </c>
      <c r="C292" t="s">
        <v>25</v>
      </c>
      <c r="D292" s="12">
        <v>0.85</v>
      </c>
    </row>
    <row r="293" spans="1:4">
      <c r="A293" t="s">
        <v>326</v>
      </c>
      <c r="B293">
        <v>292</v>
      </c>
      <c r="C293" t="s">
        <v>25</v>
      </c>
      <c r="D293" s="12">
        <v>0.85</v>
      </c>
    </row>
    <row r="294" spans="1:4">
      <c r="A294" t="s">
        <v>327</v>
      </c>
      <c r="B294">
        <v>293</v>
      </c>
      <c r="C294" t="s">
        <v>25</v>
      </c>
      <c r="D294" s="12">
        <v>0.85</v>
      </c>
    </row>
    <row r="295" spans="1:4">
      <c r="A295" t="s">
        <v>328</v>
      </c>
      <c r="B295">
        <v>294</v>
      </c>
      <c r="C295" t="s">
        <v>25</v>
      </c>
      <c r="D295" s="12">
        <v>0.85</v>
      </c>
    </row>
    <row r="296" spans="1:4">
      <c r="A296" t="s">
        <v>329</v>
      </c>
      <c r="B296">
        <v>295</v>
      </c>
      <c r="C296" t="s">
        <v>25</v>
      </c>
      <c r="D296" s="12">
        <v>0.85</v>
      </c>
    </row>
    <row r="297" spans="1:4">
      <c r="A297" t="s">
        <v>330</v>
      </c>
      <c r="B297">
        <v>296</v>
      </c>
      <c r="C297" t="s">
        <v>25</v>
      </c>
      <c r="D297" s="12">
        <v>0.85</v>
      </c>
    </row>
    <row r="298" spans="1:4">
      <c r="A298" t="s">
        <v>331</v>
      </c>
      <c r="B298">
        <v>297</v>
      </c>
      <c r="C298" t="s">
        <v>25</v>
      </c>
      <c r="D298" s="12">
        <v>0.85</v>
      </c>
    </row>
    <row r="299" spans="1:4">
      <c r="A299" t="s">
        <v>332</v>
      </c>
      <c r="B299">
        <v>298</v>
      </c>
      <c r="C299" t="s">
        <v>25</v>
      </c>
      <c r="D299" s="12">
        <v>0.85</v>
      </c>
    </row>
    <row r="300" spans="1:4">
      <c r="A300" t="s">
        <v>333</v>
      </c>
      <c r="B300">
        <v>299</v>
      </c>
      <c r="C300" t="s">
        <v>25</v>
      </c>
      <c r="D300" s="12">
        <v>0.85</v>
      </c>
    </row>
    <row r="301" spans="1:4">
      <c r="A301" t="s">
        <v>334</v>
      </c>
      <c r="B301">
        <v>300</v>
      </c>
      <c r="C301" t="s">
        <v>25</v>
      </c>
      <c r="D301" s="12">
        <v>0.85</v>
      </c>
    </row>
    <row r="302" spans="1:4">
      <c r="A302" t="s">
        <v>335</v>
      </c>
      <c r="B302">
        <v>301</v>
      </c>
      <c r="C302" t="s">
        <v>25</v>
      </c>
      <c r="D302" s="12">
        <v>0.85</v>
      </c>
    </row>
    <row r="303" spans="1:4">
      <c r="A303" t="s">
        <v>336</v>
      </c>
      <c r="B303">
        <v>302</v>
      </c>
      <c r="C303" t="s">
        <v>25</v>
      </c>
      <c r="D303" s="12">
        <v>0.85</v>
      </c>
    </row>
    <row r="304" spans="1:4">
      <c r="A304" t="s">
        <v>337</v>
      </c>
      <c r="B304">
        <v>303</v>
      </c>
      <c r="C304" t="s">
        <v>25</v>
      </c>
      <c r="D304" s="12">
        <v>0.85</v>
      </c>
    </row>
    <row r="305" spans="1:4">
      <c r="A305" t="s">
        <v>338</v>
      </c>
      <c r="B305">
        <v>304</v>
      </c>
      <c r="C305" t="s">
        <v>25</v>
      </c>
      <c r="D305" s="12">
        <v>0.85</v>
      </c>
    </row>
    <row r="306" spans="1:4">
      <c r="A306" t="s">
        <v>339</v>
      </c>
      <c r="B306">
        <v>305</v>
      </c>
      <c r="C306" t="s">
        <v>26</v>
      </c>
      <c r="D306" s="12">
        <v>0.85</v>
      </c>
    </row>
    <row r="307" spans="1:4">
      <c r="A307" t="s">
        <v>340</v>
      </c>
      <c r="B307">
        <v>306</v>
      </c>
      <c r="C307" t="s">
        <v>26</v>
      </c>
      <c r="D307" s="12">
        <v>0.85</v>
      </c>
    </row>
    <row r="308" spans="1:4">
      <c r="A308" t="s">
        <v>341</v>
      </c>
      <c r="B308">
        <v>307</v>
      </c>
      <c r="C308" t="s">
        <v>26</v>
      </c>
      <c r="D308" s="12">
        <v>0.85</v>
      </c>
    </row>
    <row r="309" spans="1:4">
      <c r="A309" t="s">
        <v>342</v>
      </c>
      <c r="B309">
        <v>308</v>
      </c>
      <c r="C309" t="s">
        <v>26</v>
      </c>
      <c r="D309" s="12">
        <v>0.85</v>
      </c>
    </row>
    <row r="310" spans="1:4">
      <c r="A310" t="s">
        <v>343</v>
      </c>
      <c r="B310">
        <v>309</v>
      </c>
      <c r="C310" t="s">
        <v>26</v>
      </c>
      <c r="D310" s="12">
        <v>0.85</v>
      </c>
    </row>
    <row r="311" spans="1:4">
      <c r="A311" t="s">
        <v>344</v>
      </c>
      <c r="B311">
        <v>310</v>
      </c>
      <c r="C311" t="s">
        <v>26</v>
      </c>
      <c r="D311" s="12">
        <v>0.85</v>
      </c>
    </row>
    <row r="312" spans="1:4">
      <c r="A312" t="s">
        <v>345</v>
      </c>
      <c r="B312">
        <v>311</v>
      </c>
      <c r="C312" t="s">
        <v>26</v>
      </c>
      <c r="D312" s="12">
        <v>0.85</v>
      </c>
    </row>
    <row r="313" spans="1:4">
      <c r="A313" t="s">
        <v>346</v>
      </c>
      <c r="B313">
        <v>312</v>
      </c>
      <c r="C313" t="s">
        <v>26</v>
      </c>
      <c r="D313" s="12">
        <v>0.85</v>
      </c>
    </row>
    <row r="314" spans="1:4">
      <c r="A314" t="s">
        <v>347</v>
      </c>
      <c r="B314">
        <v>313</v>
      </c>
      <c r="C314" t="s">
        <v>26</v>
      </c>
      <c r="D314" s="12">
        <v>0.85</v>
      </c>
    </row>
    <row r="315" spans="1:4">
      <c r="A315" t="s">
        <v>348</v>
      </c>
      <c r="B315">
        <v>314</v>
      </c>
      <c r="C315" t="s">
        <v>26</v>
      </c>
      <c r="D315" s="12">
        <v>0.85</v>
      </c>
    </row>
    <row r="316" spans="1:4">
      <c r="A316" t="s">
        <v>349</v>
      </c>
      <c r="B316">
        <v>315</v>
      </c>
      <c r="C316" t="s">
        <v>26</v>
      </c>
      <c r="D316" s="12">
        <v>0.85</v>
      </c>
    </row>
    <row r="317" spans="1:4">
      <c r="A317" t="s">
        <v>350</v>
      </c>
      <c r="B317">
        <v>316</v>
      </c>
      <c r="C317" t="s">
        <v>26</v>
      </c>
      <c r="D317" s="12">
        <v>0.85</v>
      </c>
    </row>
    <row r="318" spans="1:4">
      <c r="A318" t="s">
        <v>351</v>
      </c>
      <c r="B318">
        <v>317</v>
      </c>
      <c r="C318" t="s">
        <v>26</v>
      </c>
      <c r="D318" s="12">
        <v>0.85</v>
      </c>
    </row>
    <row r="319" spans="1:4">
      <c r="A319" t="s">
        <v>352</v>
      </c>
      <c r="B319">
        <v>318</v>
      </c>
      <c r="C319" t="s">
        <v>26</v>
      </c>
      <c r="D319" s="12">
        <v>0.85</v>
      </c>
    </row>
    <row r="320" spans="1:4">
      <c r="A320" t="s">
        <v>353</v>
      </c>
      <c r="B320">
        <v>319</v>
      </c>
      <c r="C320" t="s">
        <v>26</v>
      </c>
      <c r="D320" s="12">
        <v>0.85</v>
      </c>
    </row>
    <row r="321" spans="1:4">
      <c r="A321" t="s">
        <v>354</v>
      </c>
      <c r="B321">
        <v>320</v>
      </c>
      <c r="C321" t="s">
        <v>26</v>
      </c>
      <c r="D321" s="12">
        <v>0.85</v>
      </c>
    </row>
    <row r="322" spans="1:4">
      <c r="A322" t="s">
        <v>355</v>
      </c>
      <c r="B322">
        <v>321</v>
      </c>
      <c r="C322" t="s">
        <v>26</v>
      </c>
      <c r="D322" s="12">
        <v>0.85</v>
      </c>
    </row>
    <row r="323" spans="1:4">
      <c r="A323" t="s">
        <v>356</v>
      </c>
      <c r="B323">
        <v>322</v>
      </c>
      <c r="C323" t="s">
        <v>26</v>
      </c>
      <c r="D323" s="12">
        <v>0.85</v>
      </c>
    </row>
    <row r="324" spans="1:4">
      <c r="A324" t="s">
        <v>357</v>
      </c>
      <c r="B324">
        <v>323</v>
      </c>
      <c r="C324" t="s">
        <v>26</v>
      </c>
      <c r="D324" s="12">
        <v>0.85</v>
      </c>
    </row>
    <row r="325" spans="1:4">
      <c r="A325" t="s">
        <v>358</v>
      </c>
      <c r="B325">
        <v>324</v>
      </c>
      <c r="C325" t="s">
        <v>26</v>
      </c>
      <c r="D325" s="12">
        <v>0.85</v>
      </c>
    </row>
    <row r="326" spans="1:4">
      <c r="A326" t="s">
        <v>359</v>
      </c>
      <c r="B326">
        <v>325</v>
      </c>
      <c r="C326" t="s">
        <v>26</v>
      </c>
      <c r="D326" s="12">
        <v>0.75</v>
      </c>
    </row>
    <row r="327" spans="1:4">
      <c r="A327" t="s">
        <v>360</v>
      </c>
      <c r="B327">
        <v>326</v>
      </c>
      <c r="C327" t="s">
        <v>26</v>
      </c>
      <c r="D327" s="12">
        <v>0.75</v>
      </c>
    </row>
    <row r="328" spans="1:4">
      <c r="A328" t="s">
        <v>361</v>
      </c>
      <c r="B328">
        <v>327</v>
      </c>
      <c r="C328" t="s">
        <v>26</v>
      </c>
      <c r="D328" s="12">
        <v>0.75</v>
      </c>
    </row>
    <row r="329" spans="1:4">
      <c r="A329" t="s">
        <v>362</v>
      </c>
      <c r="B329">
        <v>328</v>
      </c>
      <c r="C329" t="s">
        <v>26</v>
      </c>
      <c r="D329" s="12">
        <v>0.75</v>
      </c>
    </row>
    <row r="330" spans="1:4">
      <c r="A330" t="s">
        <v>363</v>
      </c>
      <c r="B330">
        <v>329</v>
      </c>
      <c r="C330" t="s">
        <v>26</v>
      </c>
      <c r="D330" s="12">
        <v>0.75</v>
      </c>
    </row>
    <row r="331" spans="1:4">
      <c r="A331" t="s">
        <v>364</v>
      </c>
      <c r="B331">
        <v>330</v>
      </c>
      <c r="C331" t="s">
        <v>26</v>
      </c>
      <c r="D331" s="12">
        <v>0.75</v>
      </c>
    </row>
    <row r="332" spans="1:4">
      <c r="A332" t="s">
        <v>365</v>
      </c>
      <c r="B332">
        <v>331</v>
      </c>
      <c r="C332" t="s">
        <v>26</v>
      </c>
      <c r="D332" s="12">
        <v>0.75</v>
      </c>
    </row>
    <row r="333" spans="1:4">
      <c r="A333" t="s">
        <v>366</v>
      </c>
      <c r="B333">
        <v>332</v>
      </c>
      <c r="C333" t="s">
        <v>26</v>
      </c>
      <c r="D333" s="12">
        <v>0.75</v>
      </c>
    </row>
    <row r="334" spans="1:4">
      <c r="A334" t="s">
        <v>367</v>
      </c>
      <c r="B334">
        <v>333</v>
      </c>
      <c r="C334" t="s">
        <v>26</v>
      </c>
      <c r="D334" s="12">
        <v>0.75</v>
      </c>
    </row>
    <row r="335" spans="1:4">
      <c r="A335" t="s">
        <v>368</v>
      </c>
      <c r="B335">
        <v>334</v>
      </c>
      <c r="C335" t="s">
        <v>26</v>
      </c>
      <c r="D335" s="12">
        <v>0.75</v>
      </c>
    </row>
    <row r="336" spans="1:4">
      <c r="A336" t="s">
        <v>369</v>
      </c>
      <c r="B336">
        <v>335</v>
      </c>
      <c r="C336" t="s">
        <v>27</v>
      </c>
      <c r="D336" s="12">
        <v>0.75</v>
      </c>
    </row>
    <row r="337" spans="1:4">
      <c r="A337" t="s">
        <v>370</v>
      </c>
      <c r="B337">
        <v>336</v>
      </c>
      <c r="C337" t="s">
        <v>27</v>
      </c>
      <c r="D337" s="12">
        <v>0.75</v>
      </c>
    </row>
    <row r="338" spans="1:4">
      <c r="A338" t="s">
        <v>371</v>
      </c>
      <c r="B338">
        <v>337</v>
      </c>
      <c r="C338" t="s">
        <v>27</v>
      </c>
      <c r="D338" s="12">
        <v>0.75</v>
      </c>
    </row>
    <row r="339" spans="1:4">
      <c r="A339" t="s">
        <v>372</v>
      </c>
      <c r="B339">
        <v>338</v>
      </c>
      <c r="C339" t="s">
        <v>27</v>
      </c>
      <c r="D339" s="12">
        <v>0.75</v>
      </c>
    </row>
    <row r="340" spans="1:4">
      <c r="A340" t="s">
        <v>373</v>
      </c>
      <c r="B340">
        <v>339</v>
      </c>
      <c r="C340" t="s">
        <v>27</v>
      </c>
      <c r="D340" s="12">
        <v>0.75</v>
      </c>
    </row>
    <row r="341" spans="1:4">
      <c r="A341" t="s">
        <v>374</v>
      </c>
      <c r="B341">
        <v>340</v>
      </c>
      <c r="C341" t="s">
        <v>27</v>
      </c>
      <c r="D341" s="12">
        <v>0.75</v>
      </c>
    </row>
    <row r="342" spans="1:4">
      <c r="A342" t="s">
        <v>375</v>
      </c>
      <c r="B342">
        <v>341</v>
      </c>
      <c r="C342" t="s">
        <v>27</v>
      </c>
      <c r="D342" s="12">
        <v>0.75</v>
      </c>
    </row>
    <row r="343" spans="1:4">
      <c r="A343" t="s">
        <v>376</v>
      </c>
      <c r="B343">
        <v>342</v>
      </c>
      <c r="C343" t="s">
        <v>27</v>
      </c>
      <c r="D343" s="12">
        <v>0.75</v>
      </c>
    </row>
    <row r="344" spans="1:4">
      <c r="A344" t="s">
        <v>377</v>
      </c>
      <c r="B344">
        <v>343</v>
      </c>
      <c r="C344" t="s">
        <v>27</v>
      </c>
      <c r="D344" s="12">
        <v>0.75</v>
      </c>
    </row>
    <row r="345" spans="1:4">
      <c r="A345" t="s">
        <v>378</v>
      </c>
      <c r="B345">
        <v>344</v>
      </c>
      <c r="C345" t="s">
        <v>27</v>
      </c>
      <c r="D345" s="12">
        <v>0.75</v>
      </c>
    </row>
    <row r="346" spans="1:4">
      <c r="A346" t="s">
        <v>379</v>
      </c>
      <c r="B346">
        <v>345</v>
      </c>
      <c r="C346" t="s">
        <v>27</v>
      </c>
      <c r="D346" s="12">
        <v>0.75</v>
      </c>
    </row>
    <row r="347" spans="1:4">
      <c r="A347" t="s">
        <v>380</v>
      </c>
      <c r="B347">
        <v>346</v>
      </c>
      <c r="C347" t="s">
        <v>27</v>
      </c>
      <c r="D347" s="12">
        <v>0.75</v>
      </c>
    </row>
    <row r="348" spans="1:4">
      <c r="A348" t="s">
        <v>381</v>
      </c>
      <c r="B348">
        <v>347</v>
      </c>
      <c r="C348" t="s">
        <v>27</v>
      </c>
      <c r="D348" s="12">
        <v>0.75</v>
      </c>
    </row>
    <row r="349" spans="1:4">
      <c r="A349" t="s">
        <v>382</v>
      </c>
      <c r="B349">
        <v>348</v>
      </c>
      <c r="C349" t="s">
        <v>27</v>
      </c>
      <c r="D349" s="12">
        <v>0.75</v>
      </c>
    </row>
    <row r="350" spans="1:4">
      <c r="A350" t="s">
        <v>383</v>
      </c>
      <c r="B350">
        <v>349</v>
      </c>
      <c r="C350" t="s">
        <v>27</v>
      </c>
      <c r="D350" s="12">
        <v>0.75</v>
      </c>
    </row>
    <row r="351" spans="1:4">
      <c r="A351" t="s">
        <v>384</v>
      </c>
      <c r="B351">
        <v>350</v>
      </c>
      <c r="C351" t="s">
        <v>27</v>
      </c>
      <c r="D351" s="12">
        <v>0.75</v>
      </c>
    </row>
    <row r="352" spans="1:4">
      <c r="A352" t="s">
        <v>385</v>
      </c>
      <c r="B352">
        <v>351</v>
      </c>
      <c r="C352" t="s">
        <v>27</v>
      </c>
      <c r="D352" s="12">
        <v>0.75</v>
      </c>
    </row>
    <row r="353" spans="1:4">
      <c r="A353" t="s">
        <v>386</v>
      </c>
      <c r="B353">
        <v>352</v>
      </c>
      <c r="C353" t="s">
        <v>27</v>
      </c>
      <c r="D353" s="12">
        <v>0.75</v>
      </c>
    </row>
    <row r="354" spans="1:4">
      <c r="A354" t="s">
        <v>387</v>
      </c>
      <c r="B354">
        <v>353</v>
      </c>
      <c r="C354" t="s">
        <v>27</v>
      </c>
      <c r="D354" s="12">
        <v>0.75</v>
      </c>
    </row>
    <row r="355" spans="1:4">
      <c r="A355" t="s">
        <v>388</v>
      </c>
      <c r="B355">
        <v>354</v>
      </c>
      <c r="C355" t="s">
        <v>27</v>
      </c>
      <c r="D355" s="12">
        <v>0.75</v>
      </c>
    </row>
    <row r="356" spans="1:4">
      <c r="A356" t="s">
        <v>389</v>
      </c>
      <c r="B356">
        <v>355</v>
      </c>
      <c r="C356" t="s">
        <v>27</v>
      </c>
      <c r="D356" s="12">
        <v>0.75</v>
      </c>
    </row>
    <row r="357" spans="1:4">
      <c r="A357" t="s">
        <v>390</v>
      </c>
      <c r="B357">
        <v>356</v>
      </c>
      <c r="C357" t="s">
        <v>27</v>
      </c>
      <c r="D357" s="12">
        <v>0.75</v>
      </c>
    </row>
    <row r="358" spans="1:4">
      <c r="A358" t="s">
        <v>391</v>
      </c>
      <c r="B358">
        <v>357</v>
      </c>
      <c r="C358" t="s">
        <v>27</v>
      </c>
      <c r="D358" s="12">
        <v>0.75</v>
      </c>
    </row>
    <row r="359" spans="1:4">
      <c r="A359" t="s">
        <v>392</v>
      </c>
      <c r="B359">
        <v>358</v>
      </c>
      <c r="C359" t="s">
        <v>27</v>
      </c>
      <c r="D359" s="12">
        <v>0.75</v>
      </c>
    </row>
    <row r="360" spans="1:4">
      <c r="A360" t="s">
        <v>393</v>
      </c>
      <c r="B360">
        <v>359</v>
      </c>
      <c r="C360" t="s">
        <v>27</v>
      </c>
      <c r="D360" s="12">
        <v>0.75</v>
      </c>
    </row>
    <row r="361" spans="1:4">
      <c r="A361" t="s">
        <v>394</v>
      </c>
      <c r="B361">
        <v>360</v>
      </c>
      <c r="C361" t="s">
        <v>27</v>
      </c>
      <c r="D361" s="12">
        <v>0.75</v>
      </c>
    </row>
    <row r="362" spans="1:4">
      <c r="A362" t="s">
        <v>395</v>
      </c>
      <c r="B362">
        <v>361</v>
      </c>
      <c r="C362" t="s">
        <v>27</v>
      </c>
      <c r="D362" s="12">
        <v>0.75</v>
      </c>
    </row>
    <row r="363" spans="1:4">
      <c r="A363" t="s">
        <v>396</v>
      </c>
      <c r="B363">
        <v>362</v>
      </c>
      <c r="C363" t="s">
        <v>27</v>
      </c>
      <c r="D363" s="12">
        <v>0.75</v>
      </c>
    </row>
    <row r="364" spans="1:4">
      <c r="A364" t="s">
        <v>397</v>
      </c>
      <c r="B364">
        <v>363</v>
      </c>
      <c r="C364" t="s">
        <v>27</v>
      </c>
      <c r="D364" s="12">
        <v>0.75</v>
      </c>
    </row>
    <row r="365" spans="1:4">
      <c r="A365" t="s">
        <v>398</v>
      </c>
      <c r="B365">
        <v>364</v>
      </c>
      <c r="C365" t="s">
        <v>27</v>
      </c>
      <c r="D365" s="12">
        <v>0.75</v>
      </c>
    </row>
    <row r="366" spans="1:4">
      <c r="A366" t="s">
        <v>399</v>
      </c>
      <c r="B366">
        <v>365</v>
      </c>
      <c r="C366" t="s">
        <v>27</v>
      </c>
      <c r="D366" s="12">
        <v>0.75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3"/>
  <sheetViews>
    <sheetView workbookViewId="0">
      <pane ySplit="1" topLeftCell="A2" activePane="bottomLeft" state="frozen"/>
      <selection pane="bottomLeft" activeCell="D19" sqref="D19"/>
    </sheetView>
  </sheetViews>
  <sheetFormatPr baseColWidth="10" defaultColWidth="9" defaultRowHeight="13.5"/>
  <cols>
    <col min="1" max="1" width="23" customWidth="1"/>
    <col min="2" max="2" width="12" customWidth="1"/>
    <col min="3" max="9" width="17" customWidth="1"/>
  </cols>
  <sheetData>
    <row r="1" spans="1:9" ht="32" customHeight="1">
      <c r="A1" s="13" t="s">
        <v>400</v>
      </c>
      <c r="B1" s="13" t="s">
        <v>33</v>
      </c>
      <c r="C1" s="13" t="s">
        <v>401</v>
      </c>
      <c r="D1" s="13" t="s">
        <v>402</v>
      </c>
      <c r="E1" s="13" t="s">
        <v>403</v>
      </c>
      <c r="F1" s="13" t="s">
        <v>404</v>
      </c>
      <c r="G1" s="13" t="s">
        <v>405</v>
      </c>
      <c r="H1" s="13" t="s">
        <v>406</v>
      </c>
      <c r="I1" s="13" t="s">
        <v>407</v>
      </c>
    </row>
    <row r="2" spans="1:9">
      <c r="A2" t="str">
        <f>ETO_GAMS!A2</f>
        <v>Uruapan</v>
      </c>
      <c r="B2" t="str">
        <f>ETO_GAMS!B2</f>
        <v>Ene</v>
      </c>
      <c r="C2" s="14">
        <f>ETO_GAMS!C2</f>
        <v>94.300445225000004</v>
      </c>
      <c r="D2" s="14">
        <f>KC_EFECTIVO!C2</f>
        <v>0.68911832705930887</v>
      </c>
      <c r="E2" s="14">
        <f>ETC_GAMS!C2</f>
        <v>64.984165054399995</v>
      </c>
      <c r="F2" s="14">
        <f t="shared" ref="F2:F33" si="0">C2*D2</f>
        <v>64.984165054399995</v>
      </c>
      <c r="G2" s="14">
        <f t="shared" ref="G2:G33" si="1">E2-F2</f>
        <v>0</v>
      </c>
      <c r="H2" s="14">
        <f>ENTRADA_GAMS!M2</f>
        <v>37.090944</v>
      </c>
      <c r="I2" s="14">
        <f>ENTRADA_GAMS!P2</f>
        <v>11879</v>
      </c>
    </row>
    <row r="3" spans="1:9">
      <c r="A3" t="str">
        <f>ETO_GAMS!A3</f>
        <v>Uruapan</v>
      </c>
      <c r="B3" t="str">
        <f>ETO_GAMS!B3</f>
        <v>Feb</v>
      </c>
      <c r="C3" s="14">
        <f>ETO_GAMS!C3</f>
        <v>105.00678515066666</v>
      </c>
      <c r="D3" s="14">
        <f>KC_EFECTIVO!C3</f>
        <v>0.6</v>
      </c>
      <c r="E3" s="14">
        <f>ETC_GAMS!C3</f>
        <v>63.004071090399997</v>
      </c>
      <c r="F3" s="14">
        <f t="shared" si="0"/>
        <v>63.004071090399989</v>
      </c>
      <c r="G3" s="14">
        <f t="shared" si="1"/>
        <v>0</v>
      </c>
      <c r="H3" s="14">
        <f>ENTRADA_GAMS!M3</f>
        <v>7.6051359999999999</v>
      </c>
      <c r="I3" s="14">
        <f>ENTRADA_GAMS!P2</f>
        <v>11879</v>
      </c>
    </row>
    <row r="4" spans="1:9">
      <c r="A4" t="str">
        <f>ETO_GAMS!A4</f>
        <v>Uruapan</v>
      </c>
      <c r="B4" t="str">
        <f>ETO_GAMS!B4</f>
        <v>Mar</v>
      </c>
      <c r="C4" s="14">
        <f>ETO_GAMS!C4</f>
        <v>139.64056684533335</v>
      </c>
      <c r="D4" s="14">
        <f>KC_EFECTIVO!C4</f>
        <v>0.59999999999999987</v>
      </c>
      <c r="E4" s="14">
        <f>ETC_GAMS!C4</f>
        <v>83.784340107199995</v>
      </c>
      <c r="F4" s="14">
        <f t="shared" si="0"/>
        <v>83.784340107199995</v>
      </c>
      <c r="G4" s="14">
        <f t="shared" si="1"/>
        <v>0</v>
      </c>
      <c r="H4" s="14">
        <f>ENTRADA_GAMS!M4</f>
        <v>3.5792640000000002</v>
      </c>
      <c r="I4" s="14">
        <f>ENTRADA_GAMS!P2</f>
        <v>11879</v>
      </c>
    </row>
    <row r="5" spans="1:9">
      <c r="A5" t="str">
        <f>ETO_GAMS!A5</f>
        <v>Uruapan</v>
      </c>
      <c r="B5" t="str">
        <f>ETO_GAMS!B5</f>
        <v>Abr</v>
      </c>
      <c r="C5" s="14">
        <f>ETO_GAMS!C5</f>
        <v>152.73809564833334</v>
      </c>
      <c r="D5" s="14">
        <f>KC_EFECTIVO!C5</f>
        <v>0.69262783774809389</v>
      </c>
      <c r="E5" s="14">
        <f>ETC_GAMS!C5</f>
        <v>105.79065693066667</v>
      </c>
      <c r="F5" s="14">
        <f t="shared" si="0"/>
        <v>105.79065693066667</v>
      </c>
      <c r="G5" s="14">
        <f t="shared" si="1"/>
        <v>0</v>
      </c>
      <c r="H5" s="14">
        <f>ENTRADA_GAMS!M5</f>
        <v>9.84</v>
      </c>
      <c r="I5" s="14">
        <f>ENTRADA_GAMS!P2</f>
        <v>11879</v>
      </c>
    </row>
    <row r="6" spans="1:9">
      <c r="A6" t="str">
        <f>ETO_GAMS!A6</f>
        <v>Uruapan</v>
      </c>
      <c r="B6" t="str">
        <f>ETO_GAMS!B6</f>
        <v>May</v>
      </c>
      <c r="C6" s="14">
        <f>ETO_GAMS!C6</f>
        <v>149.68835347200002</v>
      </c>
      <c r="D6" s="14">
        <f>KC_EFECTIVO!C6</f>
        <v>0.84999999999999987</v>
      </c>
      <c r="E6" s="14">
        <f>ETC_GAMS!C6</f>
        <v>127.2351004512</v>
      </c>
      <c r="F6" s="14">
        <f t="shared" si="0"/>
        <v>127.2351004512</v>
      </c>
      <c r="G6" s="14">
        <f t="shared" si="1"/>
        <v>0</v>
      </c>
      <c r="H6" s="14">
        <f>ENTRADA_GAMS!M6</f>
        <v>31.704399999999996</v>
      </c>
      <c r="I6" s="14">
        <f>ENTRADA_GAMS!P2</f>
        <v>11879</v>
      </c>
    </row>
    <row r="7" spans="1:9">
      <c r="A7" t="str">
        <f>ETO_GAMS!A7</f>
        <v>Uruapan</v>
      </c>
      <c r="B7" t="str">
        <f>ETO_GAMS!B7</f>
        <v>Jun</v>
      </c>
      <c r="C7" s="14">
        <f>ETO_GAMS!C7</f>
        <v>116.02489336933333</v>
      </c>
      <c r="D7" s="14">
        <f>KC_EFECTIVO!C7</f>
        <v>0.85</v>
      </c>
      <c r="E7" s="14">
        <f>ETC_GAMS!C7</f>
        <v>98.62115936393333</v>
      </c>
      <c r="F7" s="14">
        <f t="shared" si="0"/>
        <v>98.62115936393333</v>
      </c>
      <c r="G7" s="14">
        <f t="shared" si="1"/>
        <v>0</v>
      </c>
      <c r="H7" s="14">
        <f>ENTRADA_GAMS!M7</f>
        <v>152.36000000000001</v>
      </c>
      <c r="I7" s="14">
        <f>ENTRADA_GAMS!P2</f>
        <v>11879</v>
      </c>
    </row>
    <row r="8" spans="1:9">
      <c r="A8" t="str">
        <f>ETO_GAMS!A8</f>
        <v>Uruapan</v>
      </c>
      <c r="B8" t="str">
        <f>ETO_GAMS!B8</f>
        <v>Jul</v>
      </c>
      <c r="C8" s="14">
        <f>ETO_GAMS!C8</f>
        <v>112.245203903</v>
      </c>
      <c r="D8" s="14">
        <f>KC_EFECTIVO!C8</f>
        <v>0.84999999999999987</v>
      </c>
      <c r="E8" s="14">
        <f>ETC_GAMS!C8</f>
        <v>95.408423317549989</v>
      </c>
      <c r="F8" s="14">
        <f t="shared" si="0"/>
        <v>95.408423317549989</v>
      </c>
      <c r="G8" s="14">
        <f t="shared" si="1"/>
        <v>0</v>
      </c>
      <c r="H8" s="14">
        <f>ENTRADA_GAMS!M8</f>
        <v>157.19</v>
      </c>
      <c r="I8" s="14">
        <f>ENTRADA_GAMS!P2</f>
        <v>11879</v>
      </c>
    </row>
    <row r="9" spans="1:9">
      <c r="A9" t="str">
        <f>ETO_GAMS!A9</f>
        <v>Uruapan</v>
      </c>
      <c r="B9" t="str">
        <f>ETO_GAMS!B9</f>
        <v>Ago</v>
      </c>
      <c r="C9" s="14">
        <f>ETO_GAMS!C9</f>
        <v>108.88109260833333</v>
      </c>
      <c r="D9" s="14">
        <f>KC_EFECTIVO!C9</f>
        <v>0.85</v>
      </c>
      <c r="E9" s="14">
        <f>ETC_GAMS!C9</f>
        <v>92.548928717083328</v>
      </c>
      <c r="F9" s="14">
        <f t="shared" si="0"/>
        <v>92.548928717083328</v>
      </c>
      <c r="G9" s="14">
        <f t="shared" si="1"/>
        <v>0</v>
      </c>
      <c r="H9" s="14">
        <f>ENTRADA_GAMS!M9</f>
        <v>157.69</v>
      </c>
      <c r="I9" s="14">
        <f>ENTRADA_GAMS!P2</f>
        <v>11879</v>
      </c>
    </row>
    <row r="10" spans="1:9">
      <c r="A10" t="str">
        <f>ETO_GAMS!A10</f>
        <v>Uruapan</v>
      </c>
      <c r="B10" t="str">
        <f>ETO_GAMS!B10</f>
        <v>Sep</v>
      </c>
      <c r="C10" s="14">
        <f>ETO_GAMS!C10</f>
        <v>95.283120236333346</v>
      </c>
      <c r="D10" s="14">
        <f>KC_EFECTIVO!C10</f>
        <v>0.84999999999999987</v>
      </c>
      <c r="E10" s="14">
        <f>ETC_GAMS!C10</f>
        <v>80.990652200883332</v>
      </c>
      <c r="F10" s="14">
        <f t="shared" si="0"/>
        <v>80.990652200883332</v>
      </c>
      <c r="G10" s="14">
        <f t="shared" si="1"/>
        <v>0</v>
      </c>
      <c r="H10" s="14">
        <f>ENTRADA_GAMS!M10</f>
        <v>153.55000000000001</v>
      </c>
      <c r="I10" s="14">
        <f>ENTRADA_GAMS!P2</f>
        <v>11879</v>
      </c>
    </row>
    <row r="11" spans="1:9">
      <c r="A11" t="str">
        <f>ETO_GAMS!A11</f>
        <v>Uruapan</v>
      </c>
      <c r="B11" t="str">
        <f>ETO_GAMS!B11</f>
        <v>Oct</v>
      </c>
      <c r="C11" s="14">
        <f>ETO_GAMS!C11</f>
        <v>95.834660944666666</v>
      </c>
      <c r="D11" s="14">
        <f>KC_EFECTIVO!C11</f>
        <v>0.84999999999999987</v>
      </c>
      <c r="E11" s="14">
        <f>ETC_GAMS!C11</f>
        <v>81.459461802966658</v>
      </c>
      <c r="F11" s="14">
        <f t="shared" si="0"/>
        <v>81.459461802966658</v>
      </c>
      <c r="G11" s="14">
        <f t="shared" si="1"/>
        <v>0</v>
      </c>
      <c r="H11" s="14">
        <f>ENTRADA_GAMS!M11</f>
        <v>106.349904</v>
      </c>
      <c r="I11" s="14">
        <f>ENTRADA_GAMS!P2</f>
        <v>11879</v>
      </c>
    </row>
    <row r="12" spans="1:9">
      <c r="A12" t="str">
        <f>ETO_GAMS!A12</f>
        <v>Uruapan</v>
      </c>
      <c r="B12" t="str">
        <f>ETO_GAMS!B12</f>
        <v>Nov</v>
      </c>
      <c r="C12" s="14">
        <f>ETO_GAMS!C12</f>
        <v>88.161471137999996</v>
      </c>
      <c r="D12" s="14">
        <f>KC_EFECTIVO!C12</f>
        <v>0.81720876446573643</v>
      </c>
      <c r="E12" s="14">
        <f>ETC_GAMS!C12</f>
        <v>72.046326902166655</v>
      </c>
      <c r="F12" s="14">
        <f t="shared" si="0"/>
        <v>72.046326902166655</v>
      </c>
      <c r="G12" s="14">
        <f t="shared" si="1"/>
        <v>0</v>
      </c>
      <c r="H12" s="14">
        <f>ENTRADA_GAMS!M12</f>
        <v>29.462399999999999</v>
      </c>
      <c r="I12" s="14">
        <f>ENTRADA_GAMS!P2</f>
        <v>11879</v>
      </c>
    </row>
    <row r="13" spans="1:9">
      <c r="A13" t="str">
        <f>ETO_GAMS!A13</f>
        <v>Uruapan</v>
      </c>
      <c r="B13" t="str">
        <f>ETO_GAMS!B13</f>
        <v>Dic</v>
      </c>
      <c r="C13" s="14">
        <f>ETO_GAMS!C13</f>
        <v>86.886057939333341</v>
      </c>
      <c r="D13" s="14">
        <f>KC_EFECTIVO!C13</f>
        <v>0.75</v>
      </c>
      <c r="E13" s="14">
        <f>ETC_GAMS!C13</f>
        <v>65.164543454500006</v>
      </c>
      <c r="F13" s="14">
        <f t="shared" si="0"/>
        <v>65.164543454500006</v>
      </c>
      <c r="G13" s="14">
        <f t="shared" si="1"/>
        <v>0</v>
      </c>
      <c r="H13" s="14">
        <f>ENTRADA_GAMS!M13</f>
        <v>11.577216</v>
      </c>
      <c r="I13" s="14">
        <f>ENTRADA_GAMS!P2</f>
        <v>11879</v>
      </c>
    </row>
    <row r="14" spans="1:9">
      <c r="A14" t="str">
        <f>ETO_GAMS!A14</f>
        <v>Tancitaro</v>
      </c>
      <c r="B14" t="str">
        <f>ETO_GAMS!B14</f>
        <v>Ene</v>
      </c>
      <c r="C14" s="14">
        <f>ETO_GAMS!C14</f>
        <v>92.664027378333316</v>
      </c>
      <c r="D14" s="14">
        <f>KC_EFECTIVO!C14</f>
        <v>0.68875576422413354</v>
      </c>
      <c r="E14" s="14">
        <f>ETC_GAMS!C14</f>
        <v>63.822882993050001</v>
      </c>
      <c r="F14" s="14">
        <f t="shared" si="0"/>
        <v>63.822882993049994</v>
      </c>
      <c r="G14" s="14">
        <f t="shared" si="1"/>
        <v>0</v>
      </c>
      <c r="H14" s="14">
        <f>ENTRADA_GAMS!M14</f>
        <v>25.3764</v>
      </c>
      <c r="I14" s="14">
        <f>ENTRADA_GAMS!P3</f>
        <v>3865</v>
      </c>
    </row>
    <row r="15" spans="1:9">
      <c r="A15" t="str">
        <f>ETO_GAMS!A15</f>
        <v>Tancitaro</v>
      </c>
      <c r="B15" t="str">
        <f>ETO_GAMS!B15</f>
        <v>Feb</v>
      </c>
      <c r="C15" s="14">
        <f>ETO_GAMS!C15</f>
        <v>104.34340981933333</v>
      </c>
      <c r="D15" s="14">
        <f>KC_EFECTIVO!C15</f>
        <v>0.60000000000000009</v>
      </c>
      <c r="E15" s="14">
        <f>ETC_GAMS!C15</f>
        <v>62.606045891600004</v>
      </c>
      <c r="F15" s="14">
        <f t="shared" si="0"/>
        <v>62.606045891600012</v>
      </c>
      <c r="G15" s="14">
        <f t="shared" si="1"/>
        <v>0</v>
      </c>
      <c r="H15" s="14">
        <f>ENTRADA_GAMS!M15</f>
        <v>12.7296</v>
      </c>
      <c r="I15" s="14">
        <f>ENTRADA_GAMS!P3</f>
        <v>3865</v>
      </c>
    </row>
    <row r="16" spans="1:9">
      <c r="A16" t="str">
        <f>ETO_GAMS!A16</f>
        <v>Tancitaro</v>
      </c>
      <c r="B16" t="str">
        <f>ETO_GAMS!B16</f>
        <v>Mar</v>
      </c>
      <c r="C16" s="14">
        <f>ETO_GAMS!C16</f>
        <v>139.77255255933332</v>
      </c>
      <c r="D16" s="14">
        <f>KC_EFECTIVO!C16</f>
        <v>0.60000000000000009</v>
      </c>
      <c r="E16" s="14">
        <f>ETC_GAMS!C16</f>
        <v>83.863531535600004</v>
      </c>
      <c r="F16" s="14">
        <f t="shared" si="0"/>
        <v>83.863531535600004</v>
      </c>
      <c r="G16" s="14">
        <f t="shared" si="1"/>
        <v>0</v>
      </c>
      <c r="H16" s="14">
        <f>ENTRADA_GAMS!M16</f>
        <v>15.305616000000001</v>
      </c>
      <c r="I16" s="14">
        <f>ENTRADA_GAMS!P3</f>
        <v>3865</v>
      </c>
    </row>
    <row r="17" spans="1:9">
      <c r="A17" t="str">
        <f>ETO_GAMS!A17</f>
        <v>Tancitaro</v>
      </c>
      <c r="B17" t="str">
        <f>ETO_GAMS!B17</f>
        <v>Abr</v>
      </c>
      <c r="C17" s="14">
        <f>ETO_GAMS!C17</f>
        <v>153.70516611133334</v>
      </c>
      <c r="D17" s="14">
        <f>KC_EFECTIVO!C17</f>
        <v>0.69297103180144615</v>
      </c>
      <c r="E17" s="14">
        <f>ETC_GAMS!C17</f>
        <v>106.51322755338333</v>
      </c>
      <c r="F17" s="14">
        <f t="shared" si="0"/>
        <v>106.51322755338335</v>
      </c>
      <c r="G17" s="14">
        <f t="shared" si="1"/>
        <v>0</v>
      </c>
      <c r="H17" s="14">
        <f>ENTRADA_GAMS!M17</f>
        <v>2.1922560000000004</v>
      </c>
      <c r="I17" s="14">
        <f>ENTRADA_GAMS!P3</f>
        <v>3865</v>
      </c>
    </row>
    <row r="18" spans="1:9">
      <c r="A18" t="str">
        <f>ETO_GAMS!A18</f>
        <v>Tancitaro</v>
      </c>
      <c r="B18" t="str">
        <f>ETO_GAMS!B18</f>
        <v>May</v>
      </c>
      <c r="C18" s="14">
        <f>ETO_GAMS!C18</f>
        <v>151.51825334233334</v>
      </c>
      <c r="D18" s="14">
        <f>KC_EFECTIVO!C18</f>
        <v>0.84999999999999987</v>
      </c>
      <c r="E18" s="14">
        <f>ETC_GAMS!C18</f>
        <v>128.79051534098332</v>
      </c>
      <c r="F18" s="14">
        <f t="shared" si="0"/>
        <v>128.79051534098332</v>
      </c>
      <c r="G18" s="14">
        <f t="shared" si="1"/>
        <v>0</v>
      </c>
      <c r="H18" s="14">
        <f>ENTRADA_GAMS!M18</f>
        <v>62.857104</v>
      </c>
      <c r="I18" s="14">
        <f>ENTRADA_GAMS!P3</f>
        <v>3865</v>
      </c>
    </row>
    <row r="19" spans="1:9">
      <c r="A19" t="str">
        <f>ETO_GAMS!A19</f>
        <v>Tancitaro</v>
      </c>
      <c r="B19" t="str">
        <f>ETO_GAMS!B19</f>
        <v>Jun</v>
      </c>
      <c r="C19" s="14">
        <f>ETO_GAMS!C19</f>
        <v>114.80358103266667</v>
      </c>
      <c r="D19" s="14">
        <f>KC_EFECTIVO!C19</f>
        <v>0.84999999999999987</v>
      </c>
      <c r="E19" s="14">
        <f>ETC_GAMS!C19</f>
        <v>97.583043877766656</v>
      </c>
      <c r="F19" s="14">
        <f t="shared" si="0"/>
        <v>97.583043877766656</v>
      </c>
      <c r="G19" s="14">
        <f t="shared" si="1"/>
        <v>0</v>
      </c>
      <c r="H19" s="14">
        <f>ENTRADA_GAMS!M19</f>
        <v>155.06</v>
      </c>
      <c r="I19" s="14">
        <f>ENTRADA_GAMS!P3</f>
        <v>3865</v>
      </c>
    </row>
    <row r="20" spans="1:9">
      <c r="A20" t="str">
        <f>ETO_GAMS!A20</f>
        <v>Tancitaro</v>
      </c>
      <c r="B20" t="str">
        <f>ETO_GAMS!B20</f>
        <v>Jul</v>
      </c>
      <c r="C20" s="14">
        <f>ETO_GAMS!C20</f>
        <v>110.85529520799999</v>
      </c>
      <c r="D20" s="14">
        <f>KC_EFECTIVO!C20</f>
        <v>0.85</v>
      </c>
      <c r="E20" s="14">
        <f>ETC_GAMS!C20</f>
        <v>94.227000926799988</v>
      </c>
      <c r="F20" s="14">
        <f t="shared" si="0"/>
        <v>94.227000926799988</v>
      </c>
      <c r="G20" s="14">
        <f t="shared" si="1"/>
        <v>0</v>
      </c>
      <c r="H20" s="14">
        <f>ENTRADA_GAMS!M20</f>
        <v>153.54</v>
      </c>
      <c r="I20" s="14">
        <f>ENTRADA_GAMS!P3</f>
        <v>3865</v>
      </c>
    </row>
    <row r="21" spans="1:9">
      <c r="A21" t="str">
        <f>ETO_GAMS!A21</f>
        <v>Tancitaro</v>
      </c>
      <c r="B21" t="str">
        <f>ETO_GAMS!B21</f>
        <v>Ago</v>
      </c>
      <c r="C21" s="14">
        <f>ETO_GAMS!C21</f>
        <v>106.46387913300001</v>
      </c>
      <c r="D21" s="14">
        <f>KC_EFECTIVO!C21</f>
        <v>0.85</v>
      </c>
      <c r="E21" s="14">
        <f>ETC_GAMS!C21</f>
        <v>90.494297263050001</v>
      </c>
      <c r="F21" s="14">
        <f t="shared" si="0"/>
        <v>90.494297263050001</v>
      </c>
      <c r="G21" s="14">
        <f t="shared" si="1"/>
        <v>0</v>
      </c>
      <c r="H21" s="14">
        <f>ENTRADA_GAMS!M21</f>
        <v>154.97</v>
      </c>
      <c r="I21" s="14">
        <f>ENTRADA_GAMS!P3</f>
        <v>3865</v>
      </c>
    </row>
    <row r="22" spans="1:9">
      <c r="A22" t="str">
        <f>ETO_GAMS!A22</f>
        <v>Tancitaro</v>
      </c>
      <c r="B22" t="str">
        <f>ETO_GAMS!B22</f>
        <v>Sep</v>
      </c>
      <c r="C22" s="14">
        <f>ETO_GAMS!C22</f>
        <v>92.488262155000001</v>
      </c>
      <c r="D22" s="14">
        <f>KC_EFECTIVO!C22</f>
        <v>0.85</v>
      </c>
      <c r="E22" s="14">
        <f>ETC_GAMS!C22</f>
        <v>78.615022831749997</v>
      </c>
      <c r="F22" s="14">
        <f t="shared" si="0"/>
        <v>78.615022831749997</v>
      </c>
      <c r="G22" s="14">
        <f t="shared" si="1"/>
        <v>0</v>
      </c>
      <c r="H22" s="14">
        <f>ENTRADA_GAMS!M22</f>
        <v>156.79</v>
      </c>
      <c r="I22" s="14">
        <f>ENTRADA_GAMS!P3</f>
        <v>3865</v>
      </c>
    </row>
    <row r="23" spans="1:9">
      <c r="A23" t="str">
        <f>ETO_GAMS!A23</f>
        <v>Tancitaro</v>
      </c>
      <c r="B23" t="str">
        <f>ETO_GAMS!B23</f>
        <v>Oct</v>
      </c>
      <c r="C23" s="14">
        <f>ETO_GAMS!C23</f>
        <v>92.674632068666668</v>
      </c>
      <c r="D23" s="14">
        <f>KC_EFECTIVO!C23</f>
        <v>0.84999999999999987</v>
      </c>
      <c r="E23" s="14">
        <f>ETC_GAMS!C23</f>
        <v>78.773437258366656</v>
      </c>
      <c r="F23" s="14">
        <f t="shared" si="0"/>
        <v>78.773437258366656</v>
      </c>
      <c r="G23" s="14">
        <f t="shared" si="1"/>
        <v>0</v>
      </c>
      <c r="H23" s="14">
        <f>ENTRADA_GAMS!M23</f>
        <v>138.9444</v>
      </c>
      <c r="I23" s="14">
        <f>ENTRADA_GAMS!P3</f>
        <v>3865</v>
      </c>
    </row>
    <row r="24" spans="1:9">
      <c r="A24" t="str">
        <f>ETO_GAMS!A24</f>
        <v>Tancitaro</v>
      </c>
      <c r="B24" t="str">
        <f>ETO_GAMS!B24</f>
        <v>Nov</v>
      </c>
      <c r="C24" s="14">
        <f>ETO_GAMS!C24</f>
        <v>85.476027826000006</v>
      </c>
      <c r="D24" s="14">
        <f>KC_EFECTIVO!C24</f>
        <v>0.81719613518297918</v>
      </c>
      <c r="E24" s="14">
        <f>ETC_GAMS!C24</f>
        <v>69.850679590199988</v>
      </c>
      <c r="F24" s="14">
        <f t="shared" si="0"/>
        <v>69.850679590199988</v>
      </c>
      <c r="G24" s="14">
        <f t="shared" si="1"/>
        <v>0</v>
      </c>
      <c r="H24" s="14">
        <f>ENTRADA_GAMS!M24</f>
        <v>51.719824000000003</v>
      </c>
      <c r="I24" s="14">
        <f>ENTRADA_GAMS!P3</f>
        <v>3865</v>
      </c>
    </row>
    <row r="25" spans="1:9">
      <c r="A25" t="str">
        <f>ETO_GAMS!A25</f>
        <v>Tancitaro</v>
      </c>
      <c r="B25" t="str">
        <f>ETO_GAMS!B25</f>
        <v>Dic</v>
      </c>
      <c r="C25" s="14">
        <f>ETO_GAMS!C25</f>
        <v>84.60210008333334</v>
      </c>
      <c r="D25" s="14">
        <f>KC_EFECTIVO!C25</f>
        <v>0.74999999999999989</v>
      </c>
      <c r="E25" s="14">
        <f>ETC_GAMS!C25</f>
        <v>63.451575062499998</v>
      </c>
      <c r="F25" s="14">
        <f t="shared" si="0"/>
        <v>63.451575062499998</v>
      </c>
      <c r="G25" s="14">
        <f t="shared" si="1"/>
        <v>0</v>
      </c>
      <c r="H25" s="14">
        <f>ENTRADA_GAMS!M25</f>
        <v>10.613376000000001</v>
      </c>
      <c r="I25" s="14">
        <f>ENTRADA_GAMS!P3</f>
        <v>3865</v>
      </c>
    </row>
    <row r="26" spans="1:9">
      <c r="A26" t="str">
        <f>ETO_GAMS!A26</f>
        <v>Periban</v>
      </c>
      <c r="B26" t="str">
        <f>ETO_GAMS!B26</f>
        <v>Ene</v>
      </c>
      <c r="C26" s="14">
        <f>ETO_GAMS!C26</f>
        <v>102.85694059866665</v>
      </c>
      <c r="D26" s="14">
        <f>KC_EFECTIVO!C26</f>
        <v>0.68872821074330415</v>
      </c>
      <c r="E26" s="14">
        <f>ETC_GAMS!C26</f>
        <v>70.840476661050005</v>
      </c>
      <c r="F26" s="14">
        <f t="shared" si="0"/>
        <v>70.840476661050005</v>
      </c>
      <c r="G26" s="14">
        <f t="shared" si="1"/>
        <v>0</v>
      </c>
      <c r="H26" s="14">
        <f>ENTRADA_GAMS!M26</f>
        <v>19.640656</v>
      </c>
      <c r="I26" s="14">
        <f>ENTRADA_GAMS!P4</f>
        <v>2876</v>
      </c>
    </row>
    <row r="27" spans="1:9">
      <c r="A27" t="str">
        <f>ETO_GAMS!A27</f>
        <v>Periban</v>
      </c>
      <c r="B27" t="str">
        <f>ETO_GAMS!B27</f>
        <v>Feb</v>
      </c>
      <c r="C27" s="14">
        <f>ETO_GAMS!C27</f>
        <v>115.28301474999999</v>
      </c>
      <c r="D27" s="14">
        <f>KC_EFECTIVO!C27</f>
        <v>0.6</v>
      </c>
      <c r="E27" s="14">
        <f>ETC_GAMS!C27</f>
        <v>69.169808849999995</v>
      </c>
      <c r="F27" s="14">
        <f t="shared" si="0"/>
        <v>69.169808849999995</v>
      </c>
      <c r="G27" s="14">
        <f t="shared" si="1"/>
        <v>0</v>
      </c>
      <c r="H27" s="14">
        <f>ENTRADA_GAMS!M27</f>
        <v>6.0404640000000001</v>
      </c>
      <c r="I27" s="14">
        <f>ENTRADA_GAMS!P4</f>
        <v>2876</v>
      </c>
    </row>
    <row r="28" spans="1:9">
      <c r="A28" t="str">
        <f>ETO_GAMS!A28</f>
        <v>Periban</v>
      </c>
      <c r="B28" t="str">
        <f>ETO_GAMS!B28</f>
        <v>Mar</v>
      </c>
      <c r="C28" s="14">
        <f>ETO_GAMS!C28</f>
        <v>152.10668662133332</v>
      </c>
      <c r="D28" s="14">
        <f>KC_EFECTIVO!C28</f>
        <v>0.60000000000000009</v>
      </c>
      <c r="E28" s="14">
        <f>ETC_GAMS!C28</f>
        <v>91.264011972800006</v>
      </c>
      <c r="F28" s="14">
        <f t="shared" si="0"/>
        <v>91.264011972800006</v>
      </c>
      <c r="G28" s="14">
        <f t="shared" si="1"/>
        <v>0</v>
      </c>
      <c r="H28" s="14">
        <f>ENTRADA_GAMS!M28</f>
        <v>4.0731039999999998</v>
      </c>
      <c r="I28" s="14">
        <f>ENTRADA_GAMS!P4</f>
        <v>2876</v>
      </c>
    </row>
    <row r="29" spans="1:9">
      <c r="A29" t="str">
        <f>ETO_GAMS!A29</f>
        <v>Periban</v>
      </c>
      <c r="B29" t="str">
        <f>ETO_GAMS!B29</f>
        <v>Abr</v>
      </c>
      <c r="C29" s="14">
        <f>ETO_GAMS!C29</f>
        <v>163.91361877100002</v>
      </c>
      <c r="D29" s="14">
        <f>KC_EFECTIVO!C29</f>
        <v>0.69230452447571023</v>
      </c>
      <c r="E29" s="14">
        <f>ETC_GAMS!C29</f>
        <v>113.47813989835001</v>
      </c>
      <c r="F29" s="14">
        <f t="shared" si="0"/>
        <v>113.47813989835002</v>
      </c>
      <c r="G29" s="14">
        <f t="shared" si="1"/>
        <v>0</v>
      </c>
      <c r="H29" s="14">
        <f>ENTRADA_GAMS!M29</f>
        <v>2.4900000000000002</v>
      </c>
      <c r="I29" s="14">
        <f>ENTRADA_GAMS!P4</f>
        <v>2876</v>
      </c>
    </row>
    <row r="30" spans="1:9">
      <c r="A30" t="str">
        <f>ETO_GAMS!A30</f>
        <v>Periban</v>
      </c>
      <c r="B30" t="str">
        <f>ETO_GAMS!B30</f>
        <v>May</v>
      </c>
      <c r="C30" s="14">
        <f>ETO_GAMS!C30</f>
        <v>157.52429858100001</v>
      </c>
      <c r="D30" s="14">
        <f>KC_EFECTIVO!C30</f>
        <v>0.85000000000000009</v>
      </c>
      <c r="E30" s="14">
        <f>ETC_GAMS!C30</f>
        <v>133.89565379385002</v>
      </c>
      <c r="F30" s="14">
        <f t="shared" si="0"/>
        <v>133.89565379385002</v>
      </c>
      <c r="G30" s="14">
        <f t="shared" si="1"/>
        <v>0</v>
      </c>
      <c r="H30" s="14">
        <f>ENTRADA_GAMS!M30</f>
        <v>29.101824000000001</v>
      </c>
      <c r="I30" s="14">
        <f>ENTRADA_GAMS!P4</f>
        <v>2876</v>
      </c>
    </row>
    <row r="31" spans="1:9">
      <c r="A31" t="str">
        <f>ETO_GAMS!A31</f>
        <v>Periban</v>
      </c>
      <c r="B31" t="str">
        <f>ETO_GAMS!B31</f>
        <v>Jun</v>
      </c>
      <c r="C31" s="14">
        <f>ETO_GAMS!C31</f>
        <v>116.17532173633334</v>
      </c>
      <c r="D31" s="14">
        <f>KC_EFECTIVO!C31</f>
        <v>0.84999999999999987</v>
      </c>
      <c r="E31" s="14">
        <f>ETC_GAMS!C31</f>
        <v>98.749023475883334</v>
      </c>
      <c r="F31" s="14">
        <f t="shared" si="0"/>
        <v>98.749023475883334</v>
      </c>
      <c r="G31" s="14">
        <f t="shared" si="1"/>
        <v>0</v>
      </c>
      <c r="H31" s="14">
        <f>ENTRADA_GAMS!M31</f>
        <v>150.66</v>
      </c>
      <c r="I31" s="14">
        <f>ENTRADA_GAMS!P4</f>
        <v>2876</v>
      </c>
    </row>
    <row r="32" spans="1:9">
      <c r="A32" t="str">
        <f>ETO_GAMS!A32</f>
        <v>Periban</v>
      </c>
      <c r="B32" t="str">
        <f>ETO_GAMS!B32</f>
        <v>Jul</v>
      </c>
      <c r="C32" s="14">
        <f>ETO_GAMS!C32</f>
        <v>110.45696688566666</v>
      </c>
      <c r="D32" s="14">
        <f>KC_EFECTIVO!C32</f>
        <v>0.85</v>
      </c>
      <c r="E32" s="14">
        <f>ETC_GAMS!C32</f>
        <v>93.888421852816663</v>
      </c>
      <c r="F32" s="14">
        <f t="shared" si="0"/>
        <v>93.888421852816663</v>
      </c>
      <c r="G32" s="14">
        <f t="shared" si="1"/>
        <v>0</v>
      </c>
      <c r="H32" s="14">
        <f>ENTRADA_GAMS!M32</f>
        <v>155.78</v>
      </c>
      <c r="I32" s="14">
        <f>ENTRADA_GAMS!P4</f>
        <v>2876</v>
      </c>
    </row>
    <row r="33" spans="1:9">
      <c r="A33" t="str">
        <f>ETO_GAMS!A33</f>
        <v>Periban</v>
      </c>
      <c r="B33" t="str">
        <f>ETO_GAMS!B33</f>
        <v>Ago</v>
      </c>
      <c r="C33" s="14">
        <f>ETO_GAMS!C33</f>
        <v>105.91204752333333</v>
      </c>
      <c r="D33" s="14">
        <f>KC_EFECTIVO!C33</f>
        <v>0.85000000000000009</v>
      </c>
      <c r="E33" s="14">
        <f>ETC_GAMS!C33</f>
        <v>90.025240394833332</v>
      </c>
      <c r="F33" s="14">
        <f t="shared" si="0"/>
        <v>90.025240394833332</v>
      </c>
      <c r="G33" s="14">
        <f t="shared" si="1"/>
        <v>0</v>
      </c>
      <c r="H33" s="14">
        <f>ENTRADA_GAMS!M33</f>
        <v>158.09</v>
      </c>
      <c r="I33" s="14">
        <f>ENTRADA_GAMS!P4</f>
        <v>2876</v>
      </c>
    </row>
    <row r="34" spans="1:9">
      <c r="A34" t="str">
        <f>ETO_GAMS!A34</f>
        <v>Periban</v>
      </c>
      <c r="B34" t="str">
        <f>ETO_GAMS!B34</f>
        <v>Sep</v>
      </c>
      <c r="C34" s="14">
        <f>ETO_GAMS!C34</f>
        <v>92.625249944333333</v>
      </c>
      <c r="D34" s="14">
        <f>KC_EFECTIVO!C34</f>
        <v>0.85000000000000009</v>
      </c>
      <c r="E34" s="14">
        <f>ETC_GAMS!C34</f>
        <v>78.731462452683346</v>
      </c>
      <c r="F34" s="14">
        <f t="shared" ref="F34:F65" si="2">C34*D34</f>
        <v>78.731462452683346</v>
      </c>
      <c r="G34" s="14">
        <f t="shared" ref="G34:G65" si="3">E34-F34</f>
        <v>0</v>
      </c>
      <c r="H34" s="14">
        <f>ENTRADA_GAMS!M34</f>
        <v>151.62</v>
      </c>
      <c r="I34" s="14">
        <f>ENTRADA_GAMS!P4</f>
        <v>2876</v>
      </c>
    </row>
    <row r="35" spans="1:9">
      <c r="A35" t="str">
        <f>ETO_GAMS!A35</f>
        <v>Periban</v>
      </c>
      <c r="B35" t="str">
        <f>ETO_GAMS!B35</f>
        <v>Oct</v>
      </c>
      <c r="C35" s="14">
        <f>ETO_GAMS!C35</f>
        <v>94.876103823999998</v>
      </c>
      <c r="D35" s="14">
        <f>KC_EFECTIVO!C35</f>
        <v>0.85</v>
      </c>
      <c r="E35" s="14">
        <f>ETC_GAMS!C35</f>
        <v>80.644688250399994</v>
      </c>
      <c r="F35" s="14">
        <f t="shared" si="2"/>
        <v>80.644688250399994</v>
      </c>
      <c r="G35" s="14">
        <f t="shared" si="3"/>
        <v>0</v>
      </c>
      <c r="H35" s="14">
        <f>ENTRADA_GAMS!M35</f>
        <v>109.08057600000002</v>
      </c>
      <c r="I35" s="14">
        <f>ENTRADA_GAMS!P4</f>
        <v>2876</v>
      </c>
    </row>
    <row r="36" spans="1:9">
      <c r="A36" t="str">
        <f>ETO_GAMS!A36</f>
        <v>Periban</v>
      </c>
      <c r="B36" t="str">
        <f>ETO_GAMS!B36</f>
        <v>Nov</v>
      </c>
      <c r="C36" s="14">
        <f>ETO_GAMS!C36</f>
        <v>90.258986035333322</v>
      </c>
      <c r="D36" s="14">
        <f>KC_EFECTIVO!C36</f>
        <v>0.81674684376181239</v>
      </c>
      <c r="E36" s="14">
        <f>ETC_GAMS!C36</f>
        <v>73.718741965499987</v>
      </c>
      <c r="F36" s="14">
        <f t="shared" si="2"/>
        <v>73.718741965499987</v>
      </c>
      <c r="G36" s="14">
        <f t="shared" si="3"/>
        <v>0</v>
      </c>
      <c r="H36" s="14">
        <f>ENTRADA_GAMS!M36</f>
        <v>29.011600000000001</v>
      </c>
      <c r="I36" s="14">
        <f>ENTRADA_GAMS!P4</f>
        <v>2876</v>
      </c>
    </row>
    <row r="37" spans="1:9">
      <c r="A37" t="str">
        <f>ETO_GAMS!A37</f>
        <v>Periban</v>
      </c>
      <c r="B37" t="str">
        <f>ETO_GAMS!B37</f>
        <v>Dic</v>
      </c>
      <c r="C37" s="14">
        <f>ETO_GAMS!C37</f>
        <v>92.493718708666663</v>
      </c>
      <c r="D37" s="14">
        <f>KC_EFECTIVO!C37</f>
        <v>0.75000000000000011</v>
      </c>
      <c r="E37" s="14">
        <f>ETC_GAMS!C37</f>
        <v>69.370289031500008</v>
      </c>
      <c r="F37" s="14">
        <f t="shared" si="2"/>
        <v>69.370289031500008</v>
      </c>
      <c r="G37" s="14">
        <f t="shared" si="3"/>
        <v>0</v>
      </c>
      <c r="H37" s="14">
        <f>ENTRADA_GAMS!M37</f>
        <v>8.5788959999999985</v>
      </c>
      <c r="I37" s="14">
        <f>ENTRADA_GAMS!P4</f>
        <v>2876</v>
      </c>
    </row>
    <row r="38" spans="1:9">
      <c r="A38" t="str">
        <f>ETO_GAMS!A38</f>
        <v>Ario</v>
      </c>
      <c r="B38" t="str">
        <f>ETO_GAMS!B38</f>
        <v>Ene</v>
      </c>
      <c r="C38" s="14">
        <f>ETO_GAMS!C38</f>
        <v>98.107923483666667</v>
      </c>
      <c r="D38" s="14">
        <f>KC_EFECTIVO!C38</f>
        <v>0.6889155344863892</v>
      </c>
      <c r="E38" s="14">
        <f>ETC_GAMS!C38</f>
        <v>67.588072544100001</v>
      </c>
      <c r="F38" s="14">
        <f t="shared" si="2"/>
        <v>67.588072544100001</v>
      </c>
      <c r="G38" s="14">
        <f t="shared" si="3"/>
        <v>0</v>
      </c>
      <c r="H38" s="14">
        <f>ENTRADA_GAMS!M38</f>
        <v>24.367743999999998</v>
      </c>
      <c r="I38" s="14">
        <f>ENTRADA_GAMS!P5</f>
        <v>8302</v>
      </c>
    </row>
    <row r="39" spans="1:9">
      <c r="A39" t="str">
        <f>ETO_GAMS!A39</f>
        <v>Ario</v>
      </c>
      <c r="B39" t="str">
        <f>ETO_GAMS!B39</f>
        <v>Feb</v>
      </c>
      <c r="C39" s="14">
        <f>ETO_GAMS!C39</f>
        <v>109.57253018666667</v>
      </c>
      <c r="D39" s="14">
        <f>KC_EFECTIVO!C39</f>
        <v>0.6</v>
      </c>
      <c r="E39" s="14">
        <f>ETC_GAMS!C39</f>
        <v>65.743518112000004</v>
      </c>
      <c r="F39" s="14">
        <f t="shared" si="2"/>
        <v>65.743518112000004</v>
      </c>
      <c r="G39" s="14">
        <f t="shared" si="3"/>
        <v>0</v>
      </c>
      <c r="H39" s="14">
        <f>ENTRADA_GAMS!M39</f>
        <v>4.0731039999999998</v>
      </c>
      <c r="I39" s="14">
        <f>ENTRADA_GAMS!P5</f>
        <v>8302</v>
      </c>
    </row>
    <row r="40" spans="1:9">
      <c r="A40" t="str">
        <f>ETO_GAMS!A40</f>
        <v>Ario</v>
      </c>
      <c r="B40" t="str">
        <f>ETO_GAMS!B40</f>
        <v>Mar</v>
      </c>
      <c r="C40" s="14">
        <f>ETO_GAMS!C40</f>
        <v>145.42890303900001</v>
      </c>
      <c r="D40" s="14">
        <f>KC_EFECTIVO!C40</f>
        <v>0.60000000000000009</v>
      </c>
      <c r="E40" s="14">
        <f>ETC_GAMS!C40</f>
        <v>87.257341823400012</v>
      </c>
      <c r="F40" s="14">
        <f t="shared" si="2"/>
        <v>87.257341823400012</v>
      </c>
      <c r="G40" s="14">
        <f t="shared" si="3"/>
        <v>0</v>
      </c>
      <c r="H40" s="14">
        <f>ENTRADA_GAMS!M40</f>
        <v>3.9744000000000002</v>
      </c>
      <c r="I40" s="14">
        <f>ENTRADA_GAMS!P5</f>
        <v>8302</v>
      </c>
    </row>
    <row r="41" spans="1:9">
      <c r="A41" t="str">
        <f>ETO_GAMS!A41</f>
        <v>Ario</v>
      </c>
      <c r="B41" t="str">
        <f>ETO_GAMS!B41</f>
        <v>Abr</v>
      </c>
      <c r="C41" s="14">
        <f>ETO_GAMS!C41</f>
        <v>159.29441754366664</v>
      </c>
      <c r="D41" s="14">
        <f>KC_EFECTIVO!C41</f>
        <v>0.69274808583629954</v>
      </c>
      <c r="E41" s="14">
        <f>ETC_GAMS!C41</f>
        <v>110.35090283778332</v>
      </c>
      <c r="F41" s="14">
        <f t="shared" si="2"/>
        <v>110.35090283778332</v>
      </c>
      <c r="G41" s="14">
        <f t="shared" si="3"/>
        <v>0</v>
      </c>
      <c r="H41" s="14">
        <f>ENTRADA_GAMS!M41</f>
        <v>0.79897600000000013</v>
      </c>
      <c r="I41" s="14">
        <f>ENTRADA_GAMS!P5</f>
        <v>8302</v>
      </c>
    </row>
    <row r="42" spans="1:9">
      <c r="A42" t="str">
        <f>ETO_GAMS!A42</f>
        <v>Ario</v>
      </c>
      <c r="B42" t="str">
        <f>ETO_GAMS!B42</f>
        <v>May</v>
      </c>
      <c r="C42" s="14">
        <f>ETO_GAMS!C42</f>
        <v>156.45537460399999</v>
      </c>
      <c r="D42" s="14">
        <f>KC_EFECTIVO!C42</f>
        <v>0.85</v>
      </c>
      <c r="E42" s="14">
        <f>ETC_GAMS!C42</f>
        <v>132.98706841339998</v>
      </c>
      <c r="F42" s="14">
        <f t="shared" si="2"/>
        <v>132.98706841339998</v>
      </c>
      <c r="G42" s="14">
        <f t="shared" si="3"/>
        <v>0</v>
      </c>
      <c r="H42" s="14">
        <f>ENTRADA_GAMS!M42</f>
        <v>31.347024000000001</v>
      </c>
      <c r="I42" s="14">
        <f>ENTRADA_GAMS!P5</f>
        <v>8302</v>
      </c>
    </row>
    <row r="43" spans="1:9">
      <c r="A43" t="str">
        <f>ETO_GAMS!A43</f>
        <v>Ario</v>
      </c>
      <c r="B43" t="str">
        <f>ETO_GAMS!B43</f>
        <v>Jun</v>
      </c>
      <c r="C43" s="14">
        <f>ETO_GAMS!C43</f>
        <v>117.92462980666666</v>
      </c>
      <c r="D43" s="14">
        <f>KC_EFECTIVO!C43</f>
        <v>0.85000000000000009</v>
      </c>
      <c r="E43" s="14">
        <f>ETC_GAMS!C43</f>
        <v>100.23593533566667</v>
      </c>
      <c r="F43" s="14">
        <f t="shared" si="2"/>
        <v>100.23593533566667</v>
      </c>
      <c r="G43" s="14">
        <f t="shared" si="3"/>
        <v>0</v>
      </c>
      <c r="H43" s="14">
        <f>ENTRADA_GAMS!M43</f>
        <v>132.082944</v>
      </c>
      <c r="I43" s="14">
        <f>ENTRADA_GAMS!P5</f>
        <v>8302</v>
      </c>
    </row>
    <row r="44" spans="1:9">
      <c r="A44" t="str">
        <f>ETO_GAMS!A44</f>
        <v>Ario</v>
      </c>
      <c r="B44" t="str">
        <f>ETO_GAMS!B44</f>
        <v>Jul</v>
      </c>
      <c r="C44" s="14">
        <f>ETO_GAMS!C44</f>
        <v>113.84694010433334</v>
      </c>
      <c r="D44" s="14">
        <f>KC_EFECTIVO!C44</f>
        <v>0.84999999999999987</v>
      </c>
      <c r="E44" s="14">
        <f>ETC_GAMS!C44</f>
        <v>96.769899088683331</v>
      </c>
      <c r="F44" s="14">
        <f t="shared" si="2"/>
        <v>96.769899088683331</v>
      </c>
      <c r="G44" s="14">
        <f t="shared" si="3"/>
        <v>0</v>
      </c>
      <c r="H44" s="14">
        <f>ENTRADA_GAMS!M44</f>
        <v>132.31833600000002</v>
      </c>
      <c r="I44" s="14">
        <f>ENTRADA_GAMS!P5</f>
        <v>8302</v>
      </c>
    </row>
    <row r="45" spans="1:9">
      <c r="A45" t="str">
        <f>ETO_GAMS!A45</f>
        <v>Ario</v>
      </c>
      <c r="B45" t="str">
        <f>ETO_GAMS!B45</f>
        <v>Ago</v>
      </c>
      <c r="C45" s="14">
        <f>ETO_GAMS!C45</f>
        <v>108.245606654</v>
      </c>
      <c r="D45" s="14">
        <f>KC_EFECTIVO!C45</f>
        <v>0.85000000000000009</v>
      </c>
      <c r="E45" s="14">
        <f>ETC_GAMS!C45</f>
        <v>92.008765655900007</v>
      </c>
      <c r="F45" s="14">
        <f t="shared" si="2"/>
        <v>92.008765655900007</v>
      </c>
      <c r="G45" s="14">
        <f t="shared" si="3"/>
        <v>0</v>
      </c>
      <c r="H45" s="14">
        <f>ENTRADA_GAMS!M45</f>
        <v>134.942544</v>
      </c>
      <c r="I45" s="14">
        <f>ENTRADA_GAMS!P5</f>
        <v>8302</v>
      </c>
    </row>
    <row r="46" spans="1:9">
      <c r="A46" t="str">
        <f>ETO_GAMS!A46</f>
        <v>Ario</v>
      </c>
      <c r="B46" t="str">
        <f>ETO_GAMS!B46</f>
        <v>Sep</v>
      </c>
      <c r="C46" s="14">
        <f>ETO_GAMS!C46</f>
        <v>94.56829590933333</v>
      </c>
      <c r="D46" s="14">
        <f>KC_EFECTIVO!C46</f>
        <v>0.85</v>
      </c>
      <c r="E46" s="14">
        <f>ETC_GAMS!C46</f>
        <v>80.383051522933329</v>
      </c>
      <c r="F46" s="14">
        <f t="shared" si="2"/>
        <v>80.383051522933329</v>
      </c>
      <c r="G46" s="14">
        <f t="shared" si="3"/>
        <v>0</v>
      </c>
      <c r="H46" s="14">
        <f>ENTRADA_GAMS!M46</f>
        <v>133.63046400000002</v>
      </c>
      <c r="I46" s="14">
        <f>ENTRADA_GAMS!P5</f>
        <v>8302</v>
      </c>
    </row>
    <row r="47" spans="1:9">
      <c r="A47" t="str">
        <f>ETO_GAMS!A47</f>
        <v>Ario</v>
      </c>
      <c r="B47" t="str">
        <f>ETO_GAMS!B47</f>
        <v>Oct</v>
      </c>
      <c r="C47" s="14">
        <f>ETO_GAMS!C47</f>
        <v>94.699085420666663</v>
      </c>
      <c r="D47" s="14">
        <f>KC_EFECTIVO!C47</f>
        <v>0.84999999999999987</v>
      </c>
      <c r="E47" s="14">
        <f>ETC_GAMS!C47</f>
        <v>80.494222607566655</v>
      </c>
      <c r="F47" s="14">
        <f t="shared" si="2"/>
        <v>80.494222607566655</v>
      </c>
      <c r="G47" s="14">
        <f t="shared" si="3"/>
        <v>0</v>
      </c>
      <c r="H47" s="14">
        <f>ENTRADA_GAMS!M47</f>
        <v>81.531264000000007</v>
      </c>
      <c r="I47" s="14">
        <f>ENTRADA_GAMS!P5</f>
        <v>8302</v>
      </c>
    </row>
    <row r="48" spans="1:9">
      <c r="A48" t="str">
        <f>ETO_GAMS!A48</f>
        <v>Ario</v>
      </c>
      <c r="B48" t="str">
        <f>ETO_GAMS!B48</f>
        <v>Nov</v>
      </c>
      <c r="C48" s="14">
        <f>ETO_GAMS!C48</f>
        <v>89.100533166333335</v>
      </c>
      <c r="D48" s="14">
        <f>KC_EFECTIVO!C48</f>
        <v>0.81697267399653895</v>
      </c>
      <c r="E48" s="14">
        <f>ETC_GAMS!C48</f>
        <v>72.792700835416653</v>
      </c>
      <c r="F48" s="14">
        <f t="shared" si="2"/>
        <v>72.792700835416653</v>
      </c>
      <c r="G48" s="14">
        <f t="shared" si="3"/>
        <v>0</v>
      </c>
      <c r="H48" s="14">
        <f>ENTRADA_GAMS!M48</f>
        <v>20.667263999999999</v>
      </c>
      <c r="I48" s="14">
        <f>ENTRADA_GAMS!P5</f>
        <v>8302</v>
      </c>
    </row>
    <row r="49" spans="1:9">
      <c r="A49" t="str">
        <f>ETO_GAMS!A49</f>
        <v>Ario</v>
      </c>
      <c r="B49" t="str">
        <f>ETO_GAMS!B49</f>
        <v>Dic</v>
      </c>
      <c r="C49" s="14">
        <f>ETO_GAMS!C49</f>
        <v>89.483672800666668</v>
      </c>
      <c r="D49" s="14">
        <f>KC_EFECTIVO!C49</f>
        <v>0.75</v>
      </c>
      <c r="E49" s="14">
        <f>ETC_GAMS!C49</f>
        <v>67.112754600499997</v>
      </c>
      <c r="F49" s="14">
        <f t="shared" si="2"/>
        <v>67.112754600499997</v>
      </c>
      <c r="G49" s="14">
        <f t="shared" si="3"/>
        <v>0</v>
      </c>
      <c r="H49" s="14">
        <f>ENTRADA_GAMS!M49</f>
        <v>7.6051359999999999</v>
      </c>
      <c r="I49" s="14">
        <f>ENTRADA_GAMS!P5</f>
        <v>8302</v>
      </c>
    </row>
    <row r="50" spans="1:9">
      <c r="A50" t="str">
        <f>ETO_GAMS!A50</f>
        <v>SalvadorEscalante</v>
      </c>
      <c r="B50" t="str">
        <f>ETO_GAMS!B50</f>
        <v>Ene</v>
      </c>
      <c r="C50" s="14">
        <f>ETO_GAMS!C50</f>
        <v>91.373976669333331</v>
      </c>
      <c r="D50" s="14">
        <f>KC_EFECTIVO!C50</f>
        <v>0.68916056974003048</v>
      </c>
      <c r="E50" s="14">
        <f>ETC_GAMS!C50</f>
        <v>62.971341820850007</v>
      </c>
      <c r="F50" s="14">
        <f t="shared" si="2"/>
        <v>62.971341820850014</v>
      </c>
      <c r="G50" s="14">
        <f t="shared" si="3"/>
        <v>0</v>
      </c>
      <c r="H50" s="14">
        <f>ENTRADA_GAMS!M50</f>
        <v>30.092175999999998</v>
      </c>
      <c r="I50" s="14">
        <f>ENTRADA_GAMS!P6</f>
        <v>8246</v>
      </c>
    </row>
    <row r="51" spans="1:9">
      <c r="A51" t="str">
        <f>ETO_GAMS!A51</f>
        <v>SalvadorEscalante</v>
      </c>
      <c r="B51" t="str">
        <f>ETO_GAMS!B51</f>
        <v>Feb</v>
      </c>
      <c r="C51" s="14">
        <f>ETO_GAMS!C51</f>
        <v>101.53003199266666</v>
      </c>
      <c r="D51" s="14">
        <f>KC_EFECTIVO!C51</f>
        <v>0.6</v>
      </c>
      <c r="E51" s="14">
        <f>ETC_GAMS!C51</f>
        <v>60.918019195599996</v>
      </c>
      <c r="F51" s="14">
        <f t="shared" si="2"/>
        <v>60.918019195599996</v>
      </c>
      <c r="G51" s="14">
        <f t="shared" si="3"/>
        <v>0</v>
      </c>
      <c r="H51" s="14">
        <f>ENTRADA_GAMS!M51</f>
        <v>8.0924160000000001</v>
      </c>
      <c r="I51" s="14">
        <f>ENTRADA_GAMS!P6</f>
        <v>8246</v>
      </c>
    </row>
    <row r="52" spans="1:9">
      <c r="A52" t="str">
        <f>ETO_GAMS!A52</f>
        <v>SalvadorEscalante</v>
      </c>
      <c r="B52" t="str">
        <f>ETO_GAMS!B52</f>
        <v>Mar</v>
      </c>
      <c r="C52" s="14">
        <f>ETO_GAMS!C52</f>
        <v>135.55983065733332</v>
      </c>
      <c r="D52" s="14">
        <f>KC_EFECTIVO!C52</f>
        <v>0.6</v>
      </c>
      <c r="E52" s="14">
        <f>ETC_GAMS!C52</f>
        <v>81.33589839439999</v>
      </c>
      <c r="F52" s="14">
        <f t="shared" si="2"/>
        <v>81.33589839439999</v>
      </c>
      <c r="G52" s="14">
        <f t="shared" si="3"/>
        <v>0</v>
      </c>
      <c r="H52" s="14">
        <f>ENTRADA_GAMS!M52</f>
        <v>6.7260159999999996</v>
      </c>
      <c r="I52" s="14">
        <f>ENTRADA_GAMS!P6</f>
        <v>8246</v>
      </c>
    </row>
    <row r="53" spans="1:9">
      <c r="A53" t="str">
        <f>ETO_GAMS!A53</f>
        <v>SalvadorEscalante</v>
      </c>
      <c r="B53" t="str">
        <f>ETO_GAMS!B53</f>
        <v>Abr</v>
      </c>
      <c r="C53" s="14">
        <f>ETO_GAMS!C53</f>
        <v>149.60852691233333</v>
      </c>
      <c r="D53" s="14">
        <f>KC_EFECTIVO!C53</f>
        <v>0.69253204664282697</v>
      </c>
      <c r="E53" s="14">
        <f>ETC_GAMS!C53</f>
        <v>103.60869933781666</v>
      </c>
      <c r="F53" s="14">
        <f t="shared" si="2"/>
        <v>103.60869933781666</v>
      </c>
      <c r="G53" s="14">
        <f t="shared" si="3"/>
        <v>0</v>
      </c>
      <c r="H53" s="14">
        <f>ENTRADA_GAMS!M53</f>
        <v>6.3344639999999997</v>
      </c>
      <c r="I53" s="14">
        <f>ENTRADA_GAMS!P6</f>
        <v>8246</v>
      </c>
    </row>
    <row r="54" spans="1:9">
      <c r="A54" t="str">
        <f>ETO_GAMS!A54</f>
        <v>SalvadorEscalante</v>
      </c>
      <c r="B54" t="str">
        <f>ETO_GAMS!B54</f>
        <v>May</v>
      </c>
      <c r="C54" s="14">
        <f>ETO_GAMS!C54</f>
        <v>144.91476734500003</v>
      </c>
      <c r="D54" s="14">
        <f>KC_EFECTIVO!C54</f>
        <v>0.84999999999999976</v>
      </c>
      <c r="E54" s="14">
        <f>ETC_GAMS!C54</f>
        <v>123.17755224324999</v>
      </c>
      <c r="F54" s="14">
        <f t="shared" si="2"/>
        <v>123.17755224324999</v>
      </c>
      <c r="G54" s="14">
        <f t="shared" si="3"/>
        <v>0</v>
      </c>
      <c r="H54" s="14">
        <f>ENTRADA_GAMS!M54</f>
        <v>25.010064000000003</v>
      </c>
      <c r="I54" s="14">
        <f>ENTRADA_GAMS!P6</f>
        <v>8246</v>
      </c>
    </row>
    <row r="55" spans="1:9">
      <c r="A55" t="str">
        <f>ETO_GAMS!A55</f>
        <v>SalvadorEscalante</v>
      </c>
      <c r="B55" t="str">
        <f>ETO_GAMS!B55</f>
        <v>Jun</v>
      </c>
      <c r="C55" s="14">
        <f>ETO_GAMS!C55</f>
        <v>110.34298735566668</v>
      </c>
      <c r="D55" s="14">
        <f>KC_EFECTIVO!C55</f>
        <v>0.84999999999999987</v>
      </c>
      <c r="E55" s="14">
        <f>ETC_GAMS!C55</f>
        <v>93.791539252316667</v>
      </c>
      <c r="F55" s="14">
        <f t="shared" si="2"/>
        <v>93.791539252316667</v>
      </c>
      <c r="G55" s="14">
        <f t="shared" si="3"/>
        <v>0</v>
      </c>
      <c r="H55" s="14">
        <f>ENTRADA_GAMS!M55</f>
        <v>113.843856</v>
      </c>
      <c r="I55" s="14">
        <f>ENTRADA_GAMS!P6</f>
        <v>8246</v>
      </c>
    </row>
    <row r="56" spans="1:9">
      <c r="A56" t="str">
        <f>ETO_GAMS!A56</f>
        <v>SalvadorEscalante</v>
      </c>
      <c r="B56" t="str">
        <f>ETO_GAMS!B56</f>
        <v>Jul</v>
      </c>
      <c r="C56" s="14">
        <f>ETO_GAMS!C56</f>
        <v>107.31031987199999</v>
      </c>
      <c r="D56" s="14">
        <f>KC_EFECTIVO!C56</f>
        <v>0.85</v>
      </c>
      <c r="E56" s="14">
        <f>ETC_GAMS!C56</f>
        <v>91.213771891199997</v>
      </c>
      <c r="F56" s="14">
        <f t="shared" si="2"/>
        <v>91.213771891199997</v>
      </c>
      <c r="G56" s="14">
        <f t="shared" si="3"/>
        <v>0</v>
      </c>
      <c r="H56" s="14">
        <f>ENTRADA_GAMS!M56</f>
        <v>149.19566399999999</v>
      </c>
      <c r="I56" s="14">
        <f>ENTRADA_GAMS!P6</f>
        <v>8246</v>
      </c>
    </row>
    <row r="57" spans="1:9">
      <c r="A57" t="str">
        <f>ETO_GAMS!A57</f>
        <v>SalvadorEscalante</v>
      </c>
      <c r="B57" t="str">
        <f>ETO_GAMS!B57</f>
        <v>Ago</v>
      </c>
      <c r="C57" s="14">
        <f>ETO_GAMS!C57</f>
        <v>103.70561755066666</v>
      </c>
      <c r="D57" s="14">
        <f>KC_EFECTIVO!C57</f>
        <v>0.85000000000000009</v>
      </c>
      <c r="E57" s="14">
        <f>ETC_GAMS!C57</f>
        <v>88.149774918066669</v>
      </c>
      <c r="F57" s="14">
        <f t="shared" si="2"/>
        <v>88.149774918066669</v>
      </c>
      <c r="G57" s="14">
        <f t="shared" si="3"/>
        <v>0</v>
      </c>
      <c r="H57" s="14">
        <f>ENTRADA_GAMS!M57</f>
        <v>143.37625599999998</v>
      </c>
      <c r="I57" s="14">
        <f>ENTRADA_GAMS!P6</f>
        <v>8246</v>
      </c>
    </row>
    <row r="58" spans="1:9">
      <c r="A58" t="str">
        <f>ETO_GAMS!A58</f>
        <v>SalvadorEscalante</v>
      </c>
      <c r="B58" t="str">
        <f>ETO_GAMS!B58</f>
        <v>Sep</v>
      </c>
      <c r="C58" s="14">
        <f>ETO_GAMS!C58</f>
        <v>92.140197766666674</v>
      </c>
      <c r="D58" s="14">
        <f>KC_EFECTIVO!C58</f>
        <v>0.85000000000000009</v>
      </c>
      <c r="E58" s="14">
        <f>ETC_GAMS!C58</f>
        <v>78.319168101666676</v>
      </c>
      <c r="F58" s="14">
        <f t="shared" si="2"/>
        <v>78.319168101666676</v>
      </c>
      <c r="G58" s="14">
        <f t="shared" si="3"/>
        <v>0</v>
      </c>
      <c r="H58" s="14">
        <f>ENTRADA_GAMS!M58</f>
        <v>135.01633599999997</v>
      </c>
      <c r="I58" s="14">
        <f>ENTRADA_GAMS!P6</f>
        <v>8246</v>
      </c>
    </row>
    <row r="59" spans="1:9">
      <c r="A59" t="str">
        <f>ETO_GAMS!A59</f>
        <v>SalvadorEscalante</v>
      </c>
      <c r="B59" t="str">
        <f>ETO_GAMS!B59</f>
        <v>Oct</v>
      </c>
      <c r="C59" s="14">
        <f>ETO_GAMS!C59</f>
        <v>93.48079919366667</v>
      </c>
      <c r="D59" s="14">
        <f>KC_EFECTIVO!C59</f>
        <v>0.84999999999999987</v>
      </c>
      <c r="E59" s="14">
        <f>ETC_GAMS!C59</f>
        <v>79.45867931461666</v>
      </c>
      <c r="F59" s="14">
        <f t="shared" si="2"/>
        <v>79.45867931461666</v>
      </c>
      <c r="G59" s="14">
        <f t="shared" si="3"/>
        <v>0</v>
      </c>
      <c r="H59" s="14">
        <f>ENTRADA_GAMS!M59</f>
        <v>66.379600000000011</v>
      </c>
      <c r="I59" s="14">
        <f>ENTRADA_GAMS!P6</f>
        <v>8246</v>
      </c>
    </row>
    <row r="60" spans="1:9">
      <c r="A60" t="str">
        <f>ETO_GAMS!A60</f>
        <v>SalvadorEscalante</v>
      </c>
      <c r="B60" t="str">
        <f>ETO_GAMS!B60</f>
        <v>Nov</v>
      </c>
      <c r="C60" s="14">
        <f>ETO_GAMS!C60</f>
        <v>86.891880368666662</v>
      </c>
      <c r="D60" s="14">
        <f>KC_EFECTIVO!C60</f>
        <v>0.81707705780030981</v>
      </c>
      <c r="E60" s="14">
        <f>ETC_GAMS!C60</f>
        <v>70.997361958366653</v>
      </c>
      <c r="F60" s="14">
        <f t="shared" si="2"/>
        <v>70.997361958366653</v>
      </c>
      <c r="G60" s="14">
        <f t="shared" si="3"/>
        <v>0</v>
      </c>
      <c r="H60" s="14">
        <f>ENTRADA_GAMS!M60</f>
        <v>22.153600000000001</v>
      </c>
      <c r="I60" s="14">
        <f>ENTRADA_GAMS!P6</f>
        <v>8246</v>
      </c>
    </row>
    <row r="61" spans="1:9">
      <c r="A61" t="str">
        <f>ETO_GAMS!A61</f>
        <v>SalvadorEscalante</v>
      </c>
      <c r="B61" t="str">
        <f>ETO_GAMS!B61</f>
        <v>Dic</v>
      </c>
      <c r="C61" s="14">
        <f>ETO_GAMS!C61</f>
        <v>85.17147955533332</v>
      </c>
      <c r="D61" s="14">
        <f>KC_EFECTIVO!C61</f>
        <v>0.75000000000000011</v>
      </c>
      <c r="E61" s="14">
        <f>ETC_GAMS!C61</f>
        <v>63.878609666499997</v>
      </c>
      <c r="F61" s="14">
        <f t="shared" si="2"/>
        <v>63.878609666499997</v>
      </c>
      <c r="G61" s="14">
        <f t="shared" si="3"/>
        <v>0</v>
      </c>
      <c r="H61" s="14">
        <f>ENTRADA_GAMS!M61</f>
        <v>10.999296000000001</v>
      </c>
      <c r="I61" s="14">
        <f>ENTRADA_GAMS!P6</f>
        <v>8246</v>
      </c>
    </row>
    <row r="62" spans="1:9">
      <c r="A62" t="str">
        <f>ETO_GAMS!A62</f>
        <v>Tacambaro</v>
      </c>
      <c r="B62" t="str">
        <f>ETO_GAMS!B62</f>
        <v>Ene</v>
      </c>
      <c r="C62" s="14">
        <f>ETO_GAMS!C62</f>
        <v>101.11175724833333</v>
      </c>
      <c r="D62" s="14">
        <f>KC_EFECTIVO!C62</f>
        <v>0.68867483017161979</v>
      </c>
      <c r="E62" s="14">
        <f>ETC_GAMS!C62</f>
        <v>69.633122251350002</v>
      </c>
      <c r="F62" s="14">
        <f t="shared" si="2"/>
        <v>69.633122251350002</v>
      </c>
      <c r="G62" s="14">
        <f t="shared" si="3"/>
        <v>0</v>
      </c>
      <c r="H62" s="14">
        <f>ENTRADA_GAMS!M62</f>
        <v>23.355215999999999</v>
      </c>
      <c r="I62" s="14">
        <f>ENTRADA_GAMS!P7</f>
        <v>10333</v>
      </c>
    </row>
    <row r="63" spans="1:9">
      <c r="A63" t="str">
        <f>ETO_GAMS!A63</f>
        <v>Tacambaro</v>
      </c>
      <c r="B63" t="str">
        <f>ETO_GAMS!B63</f>
        <v>Feb</v>
      </c>
      <c r="C63" s="14">
        <f>ETO_GAMS!C63</f>
        <v>113.75478749933333</v>
      </c>
      <c r="D63" s="14">
        <f>KC_EFECTIVO!C63</f>
        <v>0.59999999999999987</v>
      </c>
      <c r="E63" s="14">
        <f>ETC_GAMS!C63</f>
        <v>68.252872499599988</v>
      </c>
      <c r="F63" s="14">
        <f t="shared" si="2"/>
        <v>68.252872499599988</v>
      </c>
      <c r="G63" s="14">
        <f t="shared" si="3"/>
        <v>0</v>
      </c>
      <c r="H63" s="14">
        <f>ENTRADA_GAMS!M63</f>
        <v>16.726655999999998</v>
      </c>
      <c r="I63" s="14">
        <f>ENTRADA_GAMS!P7</f>
        <v>10333</v>
      </c>
    </row>
    <row r="64" spans="1:9">
      <c r="A64" t="str">
        <f>ETO_GAMS!A64</f>
        <v>Tacambaro</v>
      </c>
      <c r="B64" t="str">
        <f>ETO_GAMS!B64</f>
        <v>Mar</v>
      </c>
      <c r="C64" s="14">
        <f>ETO_GAMS!C64</f>
        <v>150.88256871966666</v>
      </c>
      <c r="D64" s="14">
        <f>KC_EFECTIVO!C64</f>
        <v>0.60000000000000009</v>
      </c>
      <c r="E64" s="14">
        <f>ETC_GAMS!C64</f>
        <v>90.52954123180001</v>
      </c>
      <c r="F64" s="14">
        <f t="shared" si="2"/>
        <v>90.52954123180001</v>
      </c>
      <c r="G64" s="14">
        <f t="shared" si="3"/>
        <v>0</v>
      </c>
      <c r="H64" s="14">
        <f>ENTRADA_GAMS!M64</f>
        <v>13.781904000000001</v>
      </c>
      <c r="I64" s="14">
        <f>ENTRADA_GAMS!P7</f>
        <v>10333</v>
      </c>
    </row>
    <row r="65" spans="1:9">
      <c r="A65" t="str">
        <f>ETO_GAMS!A65</f>
        <v>Tacambaro</v>
      </c>
      <c r="B65" t="str">
        <f>ETO_GAMS!B65</f>
        <v>Abr</v>
      </c>
      <c r="C65" s="14">
        <f>ETO_GAMS!C65</f>
        <v>164.49556662033334</v>
      </c>
      <c r="D65" s="14">
        <f>KC_EFECTIVO!C65</f>
        <v>0.69223684364760152</v>
      </c>
      <c r="E65" s="14">
        <f>ETC_GAMS!C65</f>
        <v>113.86989183128331</v>
      </c>
      <c r="F65" s="14">
        <f t="shared" si="2"/>
        <v>113.86989183128331</v>
      </c>
      <c r="G65" s="14">
        <f t="shared" si="3"/>
        <v>0</v>
      </c>
      <c r="H65" s="14">
        <f>ENTRADA_GAMS!M65</f>
        <v>3.4803999999999999</v>
      </c>
      <c r="I65" s="14">
        <f>ENTRADA_GAMS!P7</f>
        <v>10333</v>
      </c>
    </row>
    <row r="66" spans="1:9">
      <c r="A66" t="str">
        <f>ETO_GAMS!A66</f>
        <v>Tacambaro</v>
      </c>
      <c r="B66" t="str">
        <f>ETO_GAMS!B66</f>
        <v>May</v>
      </c>
      <c r="C66" s="14">
        <f>ETO_GAMS!C66</f>
        <v>158.25271906799998</v>
      </c>
      <c r="D66" s="14">
        <f>KC_EFECTIVO!C66</f>
        <v>0.85000000000000009</v>
      </c>
      <c r="E66" s="14">
        <f>ETC_GAMS!C66</f>
        <v>134.51481120779999</v>
      </c>
      <c r="F66" s="14">
        <f t="shared" ref="F66:F73" si="4">C66*D66</f>
        <v>134.51481120779999</v>
      </c>
      <c r="G66" s="14">
        <f t="shared" ref="G66:G97" si="5">E66-F66</f>
        <v>0</v>
      </c>
      <c r="H66" s="14">
        <f>ENTRADA_GAMS!M66</f>
        <v>34.809599999999996</v>
      </c>
      <c r="I66" s="14">
        <f>ENTRADA_GAMS!P7</f>
        <v>10333</v>
      </c>
    </row>
    <row r="67" spans="1:9">
      <c r="A67" t="str">
        <f>ETO_GAMS!A67</f>
        <v>Tacambaro</v>
      </c>
      <c r="B67" t="str">
        <f>ETO_GAMS!B67</f>
        <v>Jun</v>
      </c>
      <c r="C67" s="14">
        <f>ETO_GAMS!C67</f>
        <v>120.56354570533334</v>
      </c>
      <c r="D67" s="14">
        <f>KC_EFECTIVO!C67</f>
        <v>0.85</v>
      </c>
      <c r="E67" s="14">
        <f>ETC_GAMS!C67</f>
        <v>102.47901384953333</v>
      </c>
      <c r="F67" s="14">
        <f t="shared" si="4"/>
        <v>102.47901384953333</v>
      </c>
      <c r="G67" s="14">
        <f t="shared" si="5"/>
        <v>0</v>
      </c>
      <c r="H67" s="14">
        <f>ENTRADA_GAMS!M67</f>
        <v>141.22662399999999</v>
      </c>
      <c r="I67" s="14">
        <f>ENTRADA_GAMS!P7</f>
        <v>10333</v>
      </c>
    </row>
    <row r="68" spans="1:9">
      <c r="A68" t="str">
        <f>ETO_GAMS!A68</f>
        <v>Tacambaro</v>
      </c>
      <c r="B68" t="str">
        <f>ETO_GAMS!B68</f>
        <v>Jul</v>
      </c>
      <c r="C68" s="14">
        <f>ETO_GAMS!C68</f>
        <v>116.08190289166666</v>
      </c>
      <c r="D68" s="14">
        <f>KC_EFECTIVO!C68</f>
        <v>0.85000000000000009</v>
      </c>
      <c r="E68" s="14">
        <f>ETC_GAMS!C68</f>
        <v>98.669617457916672</v>
      </c>
      <c r="F68" s="14">
        <f t="shared" si="4"/>
        <v>98.669617457916672</v>
      </c>
      <c r="G68" s="14">
        <f t="shared" si="5"/>
        <v>0</v>
      </c>
      <c r="H68" s="14">
        <f>ENTRADA_GAMS!M68</f>
        <v>152.69</v>
      </c>
      <c r="I68" s="14">
        <f>ENTRADA_GAMS!P7</f>
        <v>10333</v>
      </c>
    </row>
    <row r="69" spans="1:9">
      <c r="A69" t="str">
        <f>ETO_GAMS!A69</f>
        <v>Tacambaro</v>
      </c>
      <c r="B69" t="str">
        <f>ETO_GAMS!B69</f>
        <v>Ago</v>
      </c>
      <c r="C69" s="14">
        <f>ETO_GAMS!C69</f>
        <v>110.26897246166666</v>
      </c>
      <c r="D69" s="14">
        <f>KC_EFECTIVO!C69</f>
        <v>0.85000000000000009</v>
      </c>
      <c r="E69" s="14">
        <f>ETC_GAMS!C69</f>
        <v>93.728626592416674</v>
      </c>
      <c r="F69" s="14">
        <f t="shared" si="4"/>
        <v>93.728626592416674</v>
      </c>
      <c r="G69" s="14">
        <f t="shared" si="5"/>
        <v>0</v>
      </c>
      <c r="H69" s="14">
        <f>ENTRADA_GAMS!M69</f>
        <v>148.85159999999999</v>
      </c>
      <c r="I69" s="14">
        <f>ENTRADA_GAMS!P7</f>
        <v>10333</v>
      </c>
    </row>
    <row r="70" spans="1:9">
      <c r="A70" t="str">
        <f>ETO_GAMS!A70</f>
        <v>Tacambaro</v>
      </c>
      <c r="B70" t="str">
        <f>ETO_GAMS!B70</f>
        <v>Sep</v>
      </c>
      <c r="C70" s="14">
        <f>ETO_GAMS!C70</f>
        <v>97.129795221333339</v>
      </c>
      <c r="D70" s="14">
        <f>KC_EFECTIVO!C70</f>
        <v>0.85</v>
      </c>
      <c r="E70" s="14">
        <f>ETC_GAMS!C70</f>
        <v>82.560325938133332</v>
      </c>
      <c r="F70" s="14">
        <f t="shared" si="4"/>
        <v>82.560325938133332</v>
      </c>
      <c r="G70" s="14">
        <f t="shared" si="5"/>
        <v>0</v>
      </c>
      <c r="H70" s="14">
        <f>ENTRADA_GAMS!M70</f>
        <v>149.71686400000002</v>
      </c>
      <c r="I70" s="14">
        <f>ENTRADA_GAMS!P7</f>
        <v>10333</v>
      </c>
    </row>
    <row r="71" spans="1:9">
      <c r="A71" t="str">
        <f>ETO_GAMS!A71</f>
        <v>Tacambaro</v>
      </c>
      <c r="B71" t="str">
        <f>ETO_GAMS!B71</f>
        <v>Oct</v>
      </c>
      <c r="C71" s="14">
        <f>ETO_GAMS!C71</f>
        <v>97.105067042000002</v>
      </c>
      <c r="D71" s="14">
        <f>KC_EFECTIVO!C71</f>
        <v>0.85</v>
      </c>
      <c r="E71" s="14">
        <f>ETC_GAMS!C71</f>
        <v>82.539306985699994</v>
      </c>
      <c r="F71" s="14">
        <f t="shared" si="4"/>
        <v>82.539306985699994</v>
      </c>
      <c r="G71" s="14">
        <f t="shared" si="5"/>
        <v>0</v>
      </c>
      <c r="H71" s="14">
        <f>ENTRADA_GAMS!M71</f>
        <v>101.726544</v>
      </c>
      <c r="I71" s="14">
        <f>ENTRADA_GAMS!P7</f>
        <v>10333</v>
      </c>
    </row>
    <row r="72" spans="1:9">
      <c r="A72" t="str">
        <f>ETO_GAMS!A72</f>
        <v>Tacambaro</v>
      </c>
      <c r="B72" t="str">
        <f>ETO_GAMS!B72</f>
        <v>Nov</v>
      </c>
      <c r="C72" s="14">
        <f>ETO_GAMS!C72</f>
        <v>90.618895229333333</v>
      </c>
      <c r="D72" s="14">
        <f>KC_EFECTIVO!C72</f>
        <v>0.81697695298028039</v>
      </c>
      <c r="E72" s="14">
        <f>ETC_GAMS!C72</f>
        <v>74.033548906900009</v>
      </c>
      <c r="F72" s="14">
        <f t="shared" si="4"/>
        <v>74.033548906900009</v>
      </c>
      <c r="G72" s="14">
        <f t="shared" si="5"/>
        <v>0</v>
      </c>
      <c r="H72" s="14">
        <f>ENTRADA_GAMS!M72</f>
        <v>32.684544000000002</v>
      </c>
      <c r="I72" s="14">
        <f>ENTRADA_GAMS!P7</f>
        <v>10333</v>
      </c>
    </row>
    <row r="73" spans="1:9">
      <c r="A73" t="str">
        <f>ETO_GAMS!A73</f>
        <v>Tacambaro</v>
      </c>
      <c r="B73" t="str">
        <f>ETO_GAMS!B73</f>
        <v>Dic</v>
      </c>
      <c r="C73" s="14">
        <f>ETO_GAMS!C73</f>
        <v>91.398797964000011</v>
      </c>
      <c r="D73" s="14">
        <f>KC_EFECTIVO!C73</f>
        <v>0.74999999999999989</v>
      </c>
      <c r="E73" s="14">
        <f>ETC_GAMS!C73</f>
        <v>68.549098473000001</v>
      </c>
      <c r="F73" s="14">
        <f t="shared" si="4"/>
        <v>68.549098473000001</v>
      </c>
      <c r="G73" s="14">
        <f t="shared" si="5"/>
        <v>0</v>
      </c>
      <c r="H73" s="14">
        <f>ENTRADA_GAMS!M73</f>
        <v>5.6480160000000001</v>
      </c>
      <c r="I73" s="14">
        <f>ENTRADA_GAMS!P7</f>
        <v>10333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ENTRADA_GAMS</vt:lpstr>
      <vt:lpstr>ETO_GAMS</vt:lpstr>
      <vt:lpstr>KC_EFECTIVO</vt:lpstr>
      <vt:lpstr>ETC_GAMS</vt:lpstr>
      <vt:lpstr>CALENDARIO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Gema Báez</dc:creator>
  <cp:lastModifiedBy>Gema Baez</cp:lastModifiedBy>
  <dcterms:created xsi:type="dcterms:W3CDTF">2026-10-28T08:53:50Z</dcterms:created>
  <dcterms:modified xsi:type="dcterms:W3CDTF">2026-10-28T08:53:50Z</dcterms:modified>
</cp:coreProperties>
</file>